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 N\OneDrive\ViejosDocs\Documentos\Cursos Platzi\finanzas corporativas\material excel\"/>
    </mc:Choice>
  </mc:AlternateContent>
  <xr:revisionPtr revIDLastSave="0" documentId="13_ncr:1_{4B38DE87-68F0-4114-9123-7D20CFF938AD}" xr6:coauthVersionLast="47" xr6:coauthVersionMax="47" xr10:uidLastSave="{00000000-0000-0000-0000-000000000000}"/>
  <bookViews>
    <workbookView xWindow="-120" yWindow="-120" windowWidth="29040" windowHeight="16440" firstSheet="7" activeTab="15" xr2:uid="{85F76962-9A50-43D4-9D3D-2848DE406634}"/>
  </bookViews>
  <sheets>
    <sheet name="Balance General" sheetId="2" r:id="rId1"/>
    <sheet name="Blance General R" sheetId="5" r:id="rId2"/>
    <sheet name="Estructura de Capital" sheetId="1" r:id="rId3"/>
    <sheet name="Balance General en el Tiempo" sheetId="4" r:id="rId4"/>
    <sheet name="Balance General en el tiempo R" sheetId="3" r:id="rId5"/>
    <sheet name="Ejemplos dinero tiempo" sheetId="8" r:id="rId6"/>
    <sheet name="Dinero en el tiempo" sheetId="6" r:id="rId7"/>
    <sheet name="Ejercicios Tiempo" sheetId="16" r:id="rId8"/>
    <sheet name="Dinero en el tiempo 2" sheetId="7" r:id="rId9"/>
    <sheet name="Income statement" sheetId="9" r:id="rId10"/>
    <sheet name="Taxshield" sheetId="10" r:id="rId11"/>
    <sheet name="CAPM" sheetId="11" r:id="rId12"/>
    <sheet name="WACC" sheetId="12" r:id="rId13"/>
    <sheet name="WACC2" sheetId="13" r:id="rId14"/>
    <sheet name="FCFExample" sheetId="14" r:id="rId15"/>
    <sheet name="FCF exercise" sheetId="15" r:id="rId16"/>
  </sheets>
  <definedNames>
    <definedName name="CE">WACC!$B$7</definedName>
    <definedName name="costD">WACC!$B$8</definedName>
    <definedName name="costE">WACC!$B$7</definedName>
    <definedName name="CostEq">WACC!$B$7</definedName>
    <definedName name="debtP">WACC!$B$4</definedName>
    <definedName name="equityP">WACC!$B$3</definedName>
    <definedName name="euityP">WACC!$B$3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8" i="16" l="1"/>
  <c r="G28" i="16"/>
  <c r="F28" i="16"/>
  <c r="E28" i="16"/>
  <c r="D28" i="16"/>
  <c r="C19" i="16"/>
  <c r="B44" i="15"/>
  <c r="B37" i="13"/>
  <c r="B36" i="13"/>
  <c r="B35" i="13"/>
  <c r="B20" i="13"/>
  <c r="B28" i="13"/>
  <c r="B32" i="13"/>
  <c r="E9" i="13"/>
  <c r="D13" i="13"/>
  <c r="F9" i="13"/>
  <c r="B18" i="13"/>
  <c r="E12" i="13"/>
  <c r="F12" i="13"/>
  <c r="B17" i="13"/>
  <c r="F13" i="13"/>
  <c r="E13" i="13"/>
  <c r="B51" i="15"/>
  <c r="D49" i="15"/>
  <c r="C49" i="15"/>
  <c r="B49" i="15"/>
  <c r="B24" i="15"/>
  <c r="D38" i="15"/>
  <c r="D39" i="15"/>
  <c r="D44" i="15"/>
  <c r="C38" i="15"/>
  <c r="C39" i="15"/>
  <c r="C44" i="15"/>
  <c r="B38" i="15"/>
  <c r="B39" i="15"/>
  <c r="B27" i="15"/>
  <c r="B25" i="15"/>
  <c r="B26" i="15"/>
  <c r="B31" i="15"/>
  <c r="B6" i="15"/>
  <c r="B11" i="15"/>
  <c r="B15" i="15"/>
  <c r="B17" i="15"/>
  <c r="B19" i="15"/>
  <c r="C11" i="14"/>
  <c r="D11" i="14"/>
  <c r="B11" i="14"/>
  <c r="C6" i="14"/>
  <c r="D6" i="14"/>
  <c r="B6" i="14"/>
  <c r="C5" i="14"/>
  <c r="D5" i="14"/>
  <c r="B5" i="14"/>
  <c r="B13" i="13"/>
  <c r="B17" i="12"/>
  <c r="B16" i="12"/>
  <c r="B12" i="12"/>
  <c r="B15" i="12"/>
  <c r="B5" i="12"/>
  <c r="B14" i="11"/>
  <c r="B7" i="11"/>
  <c r="I6" i="10"/>
  <c r="B30" i="10"/>
  <c r="B35" i="10"/>
  <c r="B39" i="10"/>
  <c r="B41" i="10"/>
  <c r="B8" i="10"/>
  <c r="B13" i="10"/>
  <c r="B17" i="10"/>
  <c r="B19" i="10"/>
  <c r="B45" i="10"/>
  <c r="B43" i="10"/>
  <c r="D8" i="10"/>
  <c r="D13" i="10"/>
  <c r="C8" i="10"/>
  <c r="C13" i="10"/>
  <c r="D17" i="10"/>
  <c r="D19" i="10"/>
  <c r="D21" i="10"/>
  <c r="C17" i="10"/>
  <c r="C19" i="10"/>
  <c r="C21" i="10"/>
  <c r="B21" i="10"/>
  <c r="D5" i="9"/>
  <c r="D9" i="9"/>
  <c r="D13" i="9"/>
  <c r="D15" i="9"/>
  <c r="D17" i="9"/>
  <c r="C5" i="9"/>
  <c r="C9" i="9"/>
  <c r="C13" i="9"/>
  <c r="C15" i="9"/>
  <c r="C17" i="9"/>
  <c r="B17" i="9"/>
  <c r="B15" i="9"/>
  <c r="B13" i="9"/>
  <c r="B9" i="9"/>
  <c r="B5" i="9"/>
  <c r="B28" i="6"/>
  <c r="B18" i="6"/>
  <c r="B9" i="6"/>
  <c r="B15" i="8"/>
  <c r="B6" i="8"/>
  <c r="L12" i="3"/>
  <c r="N24" i="3"/>
  <c r="N22" i="3"/>
  <c r="Q9" i="3"/>
  <c r="L10" i="3"/>
  <c r="Q12" i="3"/>
  <c r="Q15" i="3"/>
  <c r="N20" i="3"/>
  <c r="E20" i="7"/>
  <c r="D20" i="7"/>
  <c r="C20" i="7"/>
  <c r="B21" i="7"/>
  <c r="C41" i="7"/>
  <c r="C43" i="7"/>
  <c r="D41" i="7"/>
  <c r="D43" i="7"/>
  <c r="E41" i="7"/>
  <c r="E43" i="7"/>
  <c r="F41" i="7"/>
  <c r="F43" i="7"/>
  <c r="G41" i="7"/>
  <c r="G43" i="7"/>
  <c r="B45" i="7"/>
  <c r="B46" i="7"/>
  <c r="B47" i="7"/>
  <c r="C30" i="7"/>
  <c r="D30" i="7"/>
  <c r="E30" i="7"/>
  <c r="F30" i="7"/>
  <c r="G30" i="7"/>
  <c r="B32" i="7"/>
  <c r="B33" i="7"/>
  <c r="D4" i="7"/>
  <c r="D10" i="7"/>
  <c r="C4" i="7"/>
  <c r="C10" i="7"/>
  <c r="D11" i="7"/>
  <c r="B4" i="7"/>
  <c r="B10" i="7"/>
  <c r="C11" i="7"/>
  <c r="D5" i="7"/>
  <c r="C5" i="7"/>
  <c r="B35" i="6"/>
  <c r="G21" i="2"/>
  <c r="J21" i="2"/>
  <c r="G19" i="5"/>
  <c r="D19" i="5"/>
  <c r="P16" i="3"/>
  <c r="N16" i="3"/>
  <c r="J16" i="3"/>
  <c r="H16" i="3"/>
  <c r="E16" i="3"/>
  <c r="C16" i="3"/>
  <c r="J16" i="1"/>
  <c r="H16" i="1"/>
  <c r="E16" i="1"/>
  <c r="C16" i="1"/>
</calcChain>
</file>

<file path=xl/sharedStrings.xml><?xml version="1.0" encoding="utf-8"?>
<sst xmlns="http://schemas.openxmlformats.org/spreadsheetml/2006/main" count="386" uniqueCount="131">
  <si>
    <t>Non current assets</t>
  </si>
  <si>
    <t>Owner's Equity</t>
  </si>
  <si>
    <t>Capital</t>
  </si>
  <si>
    <t>Current assets</t>
  </si>
  <si>
    <t>Current liabilities</t>
  </si>
  <si>
    <t>TOTAL</t>
  </si>
  <si>
    <t>El Ratón Company</t>
  </si>
  <si>
    <t>Non current liabilities</t>
  </si>
  <si>
    <t xml:space="preserve">Balance Sheet </t>
  </si>
  <si>
    <t>December 31 2021</t>
  </si>
  <si>
    <t>Préstamos a corto plazo</t>
  </si>
  <si>
    <t>Préstamos a largo plazo</t>
  </si>
  <si>
    <t>Utilidad acumulada</t>
  </si>
  <si>
    <t>Efectivo</t>
  </si>
  <si>
    <t>Edificios</t>
  </si>
  <si>
    <t>Equipo de transporte</t>
  </si>
  <si>
    <t>La Fruta Roja Company</t>
  </si>
  <si>
    <t>Inventario</t>
  </si>
  <si>
    <t>Cuentas por cobrar</t>
  </si>
  <si>
    <t>Current Assets</t>
  </si>
  <si>
    <t>Cuentas por Cobrar</t>
  </si>
  <si>
    <t>Non Current Assets</t>
  </si>
  <si>
    <t>Terrenos</t>
  </si>
  <si>
    <t>Maquinaria</t>
  </si>
  <si>
    <t>Equipo</t>
  </si>
  <si>
    <t>Current Liabilities</t>
  </si>
  <si>
    <t>Cuentas por Pagar</t>
  </si>
  <si>
    <t>Cuentas por pagar</t>
  </si>
  <si>
    <t>Préstamo a corto plazo</t>
  </si>
  <si>
    <t>Acreedores Diversos</t>
  </si>
  <si>
    <t>Otros pasivos circulantes</t>
  </si>
  <si>
    <t>Non Current Liabilities</t>
  </si>
  <si>
    <t>Prestamos a largo plazo</t>
  </si>
  <si>
    <t>Otros Pasivos no circulantes</t>
  </si>
  <si>
    <t>Equity</t>
  </si>
  <si>
    <t>Utilidades retenidas</t>
  </si>
  <si>
    <t>Balance General</t>
  </si>
  <si>
    <t>Préstamo a largo plazo</t>
  </si>
  <si>
    <t>December 31 2022</t>
  </si>
  <si>
    <t>December 31 2023</t>
  </si>
  <si>
    <t>Horizonte de Inversión</t>
  </si>
  <si>
    <t>años</t>
  </si>
  <si>
    <t>Calcular Valor futuro</t>
  </si>
  <si>
    <t>Interés</t>
  </si>
  <si>
    <t>Calcular Valor presente</t>
  </si>
  <si>
    <t>En</t>
  </si>
  <si>
    <t>Descuento</t>
  </si>
  <si>
    <t>anual</t>
  </si>
  <si>
    <t>inflación</t>
  </si>
  <si>
    <t>¿Cuánto tendré si invierto 5kUSD por 10 años a 15% anual?</t>
  </si>
  <si>
    <t>¿Qué vale más, Una inversión de 7KUSD a 20 años con interés de 5% o 20KUSD en efectivo en 20 años?</t>
  </si>
  <si>
    <t>Utilidad Acumulada</t>
  </si>
  <si>
    <t xml:space="preserve">Inflación </t>
  </si>
  <si>
    <t>Al 2021</t>
  </si>
  <si>
    <t>Crecimiento</t>
  </si>
  <si>
    <t>Crecimiento con inflación en consideración</t>
  </si>
  <si>
    <t>Proyecto A</t>
  </si>
  <si>
    <t>Utilidad</t>
  </si>
  <si>
    <t>año</t>
  </si>
  <si>
    <t>Inversión</t>
  </si>
  <si>
    <t xml:space="preserve">inflación </t>
  </si>
  <si>
    <t>Valor presente</t>
  </si>
  <si>
    <t>Total VP</t>
  </si>
  <si>
    <t>Utilidad total</t>
  </si>
  <si>
    <t>Proyecto B</t>
  </si>
  <si>
    <t>Proyecto C</t>
  </si>
  <si>
    <t>Dividendos</t>
  </si>
  <si>
    <t>Regreso de capital</t>
  </si>
  <si>
    <t>Dividendos VP</t>
  </si>
  <si>
    <t>Capital Vp</t>
  </si>
  <si>
    <t>Empresa</t>
  </si>
  <si>
    <t>Negocio</t>
  </si>
  <si>
    <t>Accion con dividendos</t>
  </si>
  <si>
    <t>Liabilities to Equity</t>
  </si>
  <si>
    <t>CA to CL</t>
  </si>
  <si>
    <t>Liabilities to Asset</t>
  </si>
  <si>
    <t>Total liabilities</t>
  </si>
  <si>
    <t>CL</t>
  </si>
  <si>
    <t>CA</t>
  </si>
  <si>
    <t>total  assets</t>
  </si>
  <si>
    <t>Total Equity</t>
  </si>
  <si>
    <t>¿Qué valor presente tienen 5KUSD en 10 años con inflación de 3% anual?</t>
  </si>
  <si>
    <t>¿Cuánto tendré si invierto 1200kUSD por 30 años a 15% anual?</t>
  </si>
  <si>
    <t>¿Qué valor presente tienen 20KUSD en 5 años con inflación de 3% anual?</t>
  </si>
  <si>
    <t>Income</t>
  </si>
  <si>
    <t>Cost of Good solds</t>
  </si>
  <si>
    <t>Admin Expenses</t>
  </si>
  <si>
    <t>Other incomes</t>
  </si>
  <si>
    <t>Other expenses</t>
  </si>
  <si>
    <t>Tax</t>
  </si>
  <si>
    <t>Net profit</t>
  </si>
  <si>
    <t>Gross Profit</t>
  </si>
  <si>
    <t>Operative Profit</t>
  </si>
  <si>
    <t>Profit before Tax</t>
  </si>
  <si>
    <t>Marketing expenses</t>
  </si>
  <si>
    <t>Amortization</t>
  </si>
  <si>
    <t>taxshield</t>
  </si>
  <si>
    <t>Amortization vs no Amortization</t>
  </si>
  <si>
    <t>Income Statement</t>
  </si>
  <si>
    <t>Risk free rate</t>
  </si>
  <si>
    <t>Market Risk</t>
  </si>
  <si>
    <t>Beta</t>
  </si>
  <si>
    <t>Calculated rate</t>
  </si>
  <si>
    <t>Ejemplo</t>
  </si>
  <si>
    <t>Market Premium</t>
  </si>
  <si>
    <t>Estructura de capital</t>
  </si>
  <si>
    <t>Debt</t>
  </si>
  <si>
    <t>Cost of equity</t>
  </si>
  <si>
    <t>Cost of debt</t>
  </si>
  <si>
    <t>Tax rate</t>
  </si>
  <si>
    <t>Wacc</t>
  </si>
  <si>
    <t>WCE</t>
  </si>
  <si>
    <t>WCD</t>
  </si>
  <si>
    <t>Cost of debt before tax</t>
  </si>
  <si>
    <t>Cost of debt after tax</t>
  </si>
  <si>
    <t>Market Rate</t>
  </si>
  <si>
    <t>WACC</t>
  </si>
  <si>
    <t>EBIT</t>
  </si>
  <si>
    <t>TAX</t>
  </si>
  <si>
    <t>NOPAT</t>
  </si>
  <si>
    <t>Dep</t>
  </si>
  <si>
    <t>NWC</t>
  </si>
  <si>
    <t>CAPEX</t>
  </si>
  <si>
    <t>FreeCashFlow</t>
  </si>
  <si>
    <t>Example</t>
  </si>
  <si>
    <t>NetValue</t>
  </si>
  <si>
    <t>Project value</t>
  </si>
  <si>
    <t>tax rate</t>
  </si>
  <si>
    <t>CAPM</t>
  </si>
  <si>
    <t>Cost of debt after Tax</t>
  </si>
  <si>
    <t>Ejercicios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</si>
</sst>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#,##0.00_ ;[Red]\-#,##0.00\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Franklin Gothic Demi"/>
      <family val="2"/>
    </font>
    <font>
      <b/>
      <sz val="14"/>
      <color theme="0"/>
      <name val="Franklin Gothic Dem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8">
    <xf numFmtId="0" fontId="0" fillId="0" borderId="0" xfId="0"/>
    <xf numFmtId="0" fontId="2" fillId="0" borderId="4" xfId="0" applyFont="1" applyBorder="1"/>
    <xf numFmtId="0" fontId="2" fillId="0" borderId="0" xfId="0" applyFont="1"/>
    <xf numFmtId="3" fontId="2" fillId="0" borderId="6" xfId="0" applyNumberFormat="1" applyFont="1" applyBorder="1"/>
    <xf numFmtId="0" fontId="0" fillId="0" borderId="7" xfId="0" applyBorder="1"/>
    <xf numFmtId="3" fontId="0" fillId="0" borderId="6" xfId="0" applyNumberFormat="1" applyBorder="1"/>
    <xf numFmtId="0" fontId="2" fillId="0" borderId="7" xfId="0" applyFont="1" applyBorder="1"/>
    <xf numFmtId="0" fontId="2" fillId="0" borderId="8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3" fontId="2" fillId="0" borderId="0" xfId="0" applyNumberFormat="1" applyFont="1" applyBorder="1"/>
    <xf numFmtId="44" fontId="0" fillId="0" borderId="6" xfId="1" applyFont="1" applyBorder="1"/>
    <xf numFmtId="44" fontId="2" fillId="0" borderId="0" xfId="1" applyFont="1" applyBorder="1"/>
    <xf numFmtId="44" fontId="0" fillId="0" borderId="0" xfId="1" applyFont="1"/>
    <xf numFmtId="44" fontId="2" fillId="0" borderId="9" xfId="1" applyFont="1" applyBorder="1" applyAlignment="1">
      <alignment horizontal="right"/>
    </xf>
    <xf numFmtId="44" fontId="2" fillId="0" borderId="6" xfId="1" applyFont="1" applyBorder="1"/>
    <xf numFmtId="44" fontId="2" fillId="0" borderId="7" xfId="1" applyFont="1" applyBorder="1"/>
    <xf numFmtId="44" fontId="0" fillId="0" borderId="7" xfId="1" applyFont="1" applyBorder="1"/>
    <xf numFmtId="44" fontId="0" fillId="0" borderId="0" xfId="1" applyFont="1" applyBorder="1"/>
    <xf numFmtId="3" fontId="0" fillId="0" borderId="5" xfId="0" applyNumberFormat="1" applyBorder="1"/>
    <xf numFmtId="44" fontId="0" fillId="0" borderId="8" xfId="1" applyFont="1" applyBorder="1"/>
    <xf numFmtId="44" fontId="0" fillId="0" borderId="9" xfId="1" applyFont="1" applyBorder="1"/>
    <xf numFmtId="0" fontId="0" fillId="0" borderId="0" xfId="0" applyAlignment="1">
      <alignment horizontal="center" vertical="center"/>
    </xf>
    <xf numFmtId="9" fontId="0" fillId="0" borderId="0" xfId="2" applyFont="1"/>
    <xf numFmtId="9" fontId="0" fillId="0" borderId="0" xfId="2" applyFont="1" applyAlignment="1">
      <alignment horizontal="center" vertical="center"/>
    </xf>
    <xf numFmtId="44" fontId="0" fillId="0" borderId="0" xfId="0" applyNumberFormat="1"/>
    <xf numFmtId="10" fontId="0" fillId="0" borderId="0" xfId="2" applyNumberFormat="1" applyFont="1"/>
    <xf numFmtId="0" fontId="0" fillId="0" borderId="0" xfId="0" applyAlignment="1">
      <alignment horizontal="center" vertical="center" wrapText="1"/>
    </xf>
    <xf numFmtId="44" fontId="0" fillId="0" borderId="0" xfId="0" applyNumberFormat="1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164" fontId="3" fillId="0" borderId="0" xfId="0" applyNumberFormat="1" applyFont="1"/>
    <xf numFmtId="0" fontId="0" fillId="2" borderId="0" xfId="0" applyFill="1"/>
    <xf numFmtId="0" fontId="2" fillId="2" borderId="7" xfId="0" applyFont="1" applyFill="1" applyBorder="1"/>
    <xf numFmtId="0" fontId="0" fillId="2" borderId="0" xfId="0" applyFill="1" applyBorder="1"/>
    <xf numFmtId="0" fontId="2" fillId="2" borderId="4" xfId="0" applyFont="1" applyFill="1" applyBorder="1"/>
    <xf numFmtId="44" fontId="0" fillId="2" borderId="12" xfId="1" applyFont="1" applyFill="1" applyBorder="1"/>
    <xf numFmtId="0" fontId="0" fillId="2" borderId="5" xfId="0" applyFill="1" applyBorder="1"/>
    <xf numFmtId="0" fontId="0" fillId="2" borderId="7" xfId="0" applyFill="1" applyBorder="1"/>
    <xf numFmtId="44" fontId="0" fillId="2" borderId="0" xfId="1" applyFont="1" applyFill="1" applyBorder="1"/>
    <xf numFmtId="0" fontId="0" fillId="2" borderId="6" xfId="0" applyFill="1" applyBorder="1"/>
    <xf numFmtId="0" fontId="2" fillId="2" borderId="1" xfId="0" applyFont="1" applyFill="1" applyBorder="1" applyAlignment="1">
      <alignment horizontal="right"/>
    </xf>
    <xf numFmtId="0" fontId="0" fillId="2" borderId="2" xfId="0" applyFill="1" applyBorder="1"/>
    <xf numFmtId="44" fontId="2" fillId="2" borderId="2" xfId="1" applyFont="1" applyFill="1" applyBorder="1" applyAlignment="1">
      <alignment horizontal="right"/>
    </xf>
    <xf numFmtId="44" fontId="2" fillId="2" borderId="3" xfId="1" applyFont="1" applyFill="1" applyBorder="1" applyAlignment="1">
      <alignment horizontal="right"/>
    </xf>
    <xf numFmtId="3" fontId="2" fillId="2" borderId="6" xfId="0" applyNumberFormat="1" applyFont="1" applyFill="1" applyBorder="1"/>
    <xf numFmtId="0" fontId="2" fillId="2" borderId="0" xfId="0" applyFont="1" applyFill="1"/>
    <xf numFmtId="3" fontId="0" fillId="2" borderId="6" xfId="0" applyNumberFormat="1" applyFill="1" applyBorder="1"/>
    <xf numFmtId="44" fontId="0" fillId="2" borderId="6" xfId="1" applyFont="1" applyFill="1" applyBorder="1"/>
    <xf numFmtId="44" fontId="2" fillId="2" borderId="0" xfId="1" applyFont="1" applyFill="1" applyBorder="1"/>
    <xf numFmtId="44" fontId="2" fillId="2" borderId="6" xfId="1" applyFont="1" applyFill="1" applyBorder="1"/>
    <xf numFmtId="44" fontId="0" fillId="2" borderId="0" xfId="1" applyFont="1" applyFill="1"/>
    <xf numFmtId="0" fontId="2" fillId="2" borderId="8" xfId="0" applyFont="1" applyFill="1" applyBorder="1" applyAlignment="1">
      <alignment horizontal="right"/>
    </xf>
    <xf numFmtId="44" fontId="2" fillId="2" borderId="9" xfId="1" applyFont="1" applyFill="1" applyBorder="1" applyAlignment="1">
      <alignment horizontal="right"/>
    </xf>
    <xf numFmtId="0" fontId="2" fillId="2" borderId="10" xfId="0" applyFont="1" applyFill="1" applyBorder="1" applyAlignment="1">
      <alignment horizontal="right"/>
    </xf>
    <xf numFmtId="0" fontId="0" fillId="0" borderId="0" xfId="0" applyFill="1"/>
    <xf numFmtId="0" fontId="0" fillId="0" borderId="0" xfId="0" applyFill="1" applyAlignment="1">
      <alignment horizontal="center" vertical="center"/>
    </xf>
    <xf numFmtId="44" fontId="0" fillId="0" borderId="0" xfId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3" fontId="2" fillId="2" borderId="13" xfId="0" applyNumberFormat="1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44" fontId="0" fillId="2" borderId="13" xfId="1" applyFont="1" applyFill="1" applyBorder="1" applyAlignment="1">
      <alignment horizontal="center" vertical="center"/>
    </xf>
    <xf numFmtId="44" fontId="0" fillId="2" borderId="0" xfId="1" applyFont="1" applyFill="1" applyAlignment="1">
      <alignment horizontal="center" vertical="center"/>
    </xf>
    <xf numFmtId="44" fontId="2" fillId="2" borderId="13" xfId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3" fontId="0" fillId="2" borderId="13" xfId="0" applyNumberFormat="1" applyFill="1" applyBorder="1" applyAlignment="1">
      <alignment horizontal="center" vertical="center"/>
    </xf>
    <xf numFmtId="44" fontId="0" fillId="2" borderId="0" xfId="1" applyFont="1" applyFill="1" applyBorder="1" applyAlignment="1">
      <alignment horizontal="center" vertical="center"/>
    </xf>
    <xf numFmtId="44" fontId="0" fillId="2" borderId="14" xfId="1" applyFont="1" applyFill="1" applyBorder="1" applyAlignment="1">
      <alignment horizontal="center" vertical="center"/>
    </xf>
    <xf numFmtId="44" fontId="0" fillId="2" borderId="10" xfId="1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9" fontId="0" fillId="0" borderId="0" xfId="2" applyFont="1" applyFill="1" applyAlignment="1">
      <alignment horizontal="center" vertical="center"/>
    </xf>
    <xf numFmtId="44" fontId="0" fillId="0" borderId="0" xfId="0" applyNumberFormat="1" applyFill="1" applyAlignment="1">
      <alignment horizontal="center" vertical="center"/>
    </xf>
    <xf numFmtId="44" fontId="0" fillId="0" borderId="0" xfId="0" applyNumberFormat="1" applyFill="1"/>
    <xf numFmtId="0" fontId="2" fillId="0" borderId="0" xfId="0" applyFont="1" applyFill="1"/>
    <xf numFmtId="44" fontId="0" fillId="0" borderId="0" xfId="2" applyNumberFormat="1" applyFont="1"/>
    <xf numFmtId="0" fontId="2" fillId="0" borderId="0" xfId="0" applyFont="1" applyBorder="1" applyAlignment="1">
      <alignment horizontal="center"/>
    </xf>
    <xf numFmtId="3" fontId="0" fillId="0" borderId="0" xfId="0" applyNumberFormat="1" applyBorder="1"/>
    <xf numFmtId="44" fontId="2" fillId="0" borderId="0" xfId="1" applyFont="1" applyBorder="1" applyAlignment="1">
      <alignment horizontal="right"/>
    </xf>
    <xf numFmtId="2" fontId="0" fillId="0" borderId="0" xfId="0" applyNumberFormat="1"/>
    <xf numFmtId="0" fontId="4" fillId="3" borderId="0" xfId="0" applyFont="1" applyFill="1" applyAlignment="1">
      <alignment horizontal="center" vertical="center"/>
    </xf>
    <xf numFmtId="0" fontId="0" fillId="5" borderId="0" xfId="0" applyFill="1"/>
    <xf numFmtId="44" fontId="0" fillId="5" borderId="0" xfId="1" applyFont="1" applyFill="1"/>
    <xf numFmtId="44" fontId="0" fillId="5" borderId="0" xfId="0" applyNumberFormat="1" applyFill="1"/>
    <xf numFmtId="0" fontId="4" fillId="3" borderId="0" xfId="0" applyFont="1" applyFill="1"/>
    <xf numFmtId="9" fontId="0" fillId="0" borderId="0" xfId="0" applyNumberFormat="1"/>
    <xf numFmtId="10" fontId="0" fillId="0" borderId="0" xfId="0" applyNumberFormat="1"/>
    <xf numFmtId="44" fontId="0" fillId="0" borderId="10" xfId="1" applyFont="1" applyBorder="1"/>
    <xf numFmtId="44" fontId="2" fillId="0" borderId="0" xfId="0" applyNumberFormat="1" applyFont="1"/>
    <xf numFmtId="0" fontId="4" fillId="3" borderId="4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0" xfId="0" applyFont="1" applyFill="1" applyAlignment="1">
      <alignment vertical="center"/>
    </xf>
    <xf numFmtId="0" fontId="0" fillId="0" borderId="0" xfId="0" applyNumberFormat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57FAC-08CF-457C-BA1C-682325807389}">
  <dimension ref="A1:J27"/>
  <sheetViews>
    <sheetView workbookViewId="0">
      <selection activeCell="B1" sqref="B1"/>
    </sheetView>
  </sheetViews>
  <sheetFormatPr baseColWidth="10" defaultRowHeight="15" x14ac:dyDescent="0.25"/>
  <cols>
    <col min="1" max="1" width="25.85546875" style="30" bestFit="1" customWidth="1"/>
    <col min="2" max="2" width="17.5703125" style="30" bestFit="1" customWidth="1"/>
    <col min="3" max="3" width="12.5703125" style="30" bestFit="1" customWidth="1"/>
    <col min="4" max="4" width="23.140625" style="30" bestFit="1" customWidth="1"/>
    <col min="5" max="7" width="12.5703125" style="30" bestFit="1" customWidth="1"/>
    <col min="8" max="8" width="25.85546875" style="30" bestFit="1" customWidth="1"/>
    <col min="9" max="9" width="11.5703125" style="30" bestFit="1" customWidth="1"/>
    <col min="10" max="10" width="12.5703125" style="30" bestFit="1" customWidth="1"/>
    <col min="11" max="16384" width="11.42578125" style="30"/>
  </cols>
  <sheetData>
    <row r="1" spans="1:10" x14ac:dyDescent="0.25">
      <c r="A1" s="44" t="s">
        <v>19</v>
      </c>
    </row>
    <row r="2" spans="1:10" x14ac:dyDescent="0.25">
      <c r="A2" s="30" t="s">
        <v>13</v>
      </c>
      <c r="B2" s="49">
        <v>5000</v>
      </c>
    </row>
    <row r="3" spans="1:10" x14ac:dyDescent="0.25">
      <c r="A3" s="30" t="s">
        <v>20</v>
      </c>
      <c r="B3" s="49">
        <v>13000</v>
      </c>
    </row>
    <row r="4" spans="1:10" x14ac:dyDescent="0.25">
      <c r="A4" s="30" t="s">
        <v>17</v>
      </c>
      <c r="B4" s="49">
        <v>48000</v>
      </c>
      <c r="E4" s="90" t="s">
        <v>36</v>
      </c>
      <c r="F4" s="91"/>
      <c r="G4" s="91"/>
      <c r="H4" s="91"/>
      <c r="I4" s="91"/>
      <c r="J4" s="92"/>
    </row>
    <row r="5" spans="1:10" x14ac:dyDescent="0.25">
      <c r="B5" s="49"/>
      <c r="E5" s="93"/>
      <c r="F5" s="94"/>
      <c r="G5" s="94"/>
      <c r="H5" s="94"/>
      <c r="I5" s="94"/>
      <c r="J5" s="95"/>
    </row>
    <row r="6" spans="1:10" x14ac:dyDescent="0.25">
      <c r="A6" s="44" t="s">
        <v>25</v>
      </c>
      <c r="B6" s="49"/>
      <c r="E6" s="31"/>
      <c r="F6" s="32"/>
      <c r="G6" s="32"/>
      <c r="H6" s="33"/>
      <c r="I6" s="34"/>
      <c r="J6" s="35"/>
    </row>
    <row r="7" spans="1:10" x14ac:dyDescent="0.25">
      <c r="A7" s="30" t="s">
        <v>26</v>
      </c>
      <c r="B7" s="49">
        <v>4000</v>
      </c>
      <c r="E7" s="36"/>
      <c r="F7" s="37"/>
      <c r="G7" s="32"/>
      <c r="H7" s="36"/>
      <c r="I7" s="37"/>
      <c r="J7" s="38"/>
    </row>
    <row r="8" spans="1:10" x14ac:dyDescent="0.25">
      <c r="A8" s="30" t="s">
        <v>28</v>
      </c>
      <c r="B8" s="49">
        <v>5000</v>
      </c>
      <c r="E8" s="36"/>
      <c r="F8" s="37"/>
      <c r="G8" s="32"/>
      <c r="H8" s="36"/>
      <c r="I8" s="37"/>
      <c r="J8" s="38"/>
    </row>
    <row r="9" spans="1:10" x14ac:dyDescent="0.25">
      <c r="A9" s="30" t="s">
        <v>29</v>
      </c>
      <c r="B9" s="49">
        <v>30000</v>
      </c>
      <c r="E9" s="36"/>
      <c r="F9" s="37"/>
      <c r="G9" s="32"/>
      <c r="H9" s="36"/>
      <c r="I9" s="37"/>
      <c r="J9" s="38"/>
    </row>
    <row r="10" spans="1:10" x14ac:dyDescent="0.25">
      <c r="A10" s="30" t="s">
        <v>30</v>
      </c>
      <c r="B10" s="49">
        <v>5000</v>
      </c>
      <c r="E10" s="36"/>
      <c r="F10" s="37"/>
      <c r="G10" s="32"/>
      <c r="H10" s="36"/>
      <c r="I10" s="37"/>
      <c r="J10" s="38"/>
    </row>
    <row r="11" spans="1:10" x14ac:dyDescent="0.25">
      <c r="B11" s="49"/>
      <c r="E11" s="36"/>
      <c r="F11" s="32"/>
      <c r="G11" s="32"/>
      <c r="H11" s="36"/>
      <c r="I11" s="32"/>
      <c r="J11" s="38"/>
    </row>
    <row r="12" spans="1:10" x14ac:dyDescent="0.25">
      <c r="A12" s="44" t="s">
        <v>21</v>
      </c>
      <c r="B12" s="49"/>
      <c r="E12" s="31"/>
      <c r="F12" s="37"/>
      <c r="G12" s="32"/>
      <c r="H12" s="31"/>
      <c r="I12" s="37"/>
      <c r="J12" s="38"/>
    </row>
    <row r="13" spans="1:10" x14ac:dyDescent="0.25">
      <c r="A13" s="30" t="s">
        <v>22</v>
      </c>
      <c r="B13" s="49">
        <v>30000</v>
      </c>
      <c r="E13" s="36"/>
      <c r="F13" s="37"/>
      <c r="G13" s="32"/>
      <c r="H13" s="36"/>
      <c r="I13" s="37"/>
      <c r="J13" s="38"/>
    </row>
    <row r="14" spans="1:10" x14ac:dyDescent="0.25">
      <c r="A14" s="30" t="s">
        <v>14</v>
      </c>
      <c r="B14" s="49">
        <v>120000</v>
      </c>
      <c r="E14" s="36"/>
      <c r="F14" s="37"/>
      <c r="G14" s="32"/>
      <c r="H14" s="36"/>
      <c r="I14" s="37"/>
      <c r="J14" s="38"/>
    </row>
    <row r="15" spans="1:10" x14ac:dyDescent="0.25">
      <c r="A15" s="30" t="s">
        <v>23</v>
      </c>
      <c r="B15" s="49">
        <v>6000</v>
      </c>
      <c r="E15" s="36"/>
      <c r="F15" s="37"/>
      <c r="G15" s="32"/>
      <c r="H15" s="36"/>
      <c r="I15" s="32"/>
      <c r="J15" s="38"/>
    </row>
    <row r="16" spans="1:10" x14ac:dyDescent="0.25">
      <c r="A16" s="30" t="s">
        <v>24</v>
      </c>
      <c r="B16" s="49">
        <v>2000</v>
      </c>
      <c r="E16" s="36"/>
      <c r="F16" s="37"/>
      <c r="G16" s="32"/>
      <c r="H16" s="36"/>
      <c r="I16" s="32"/>
      <c r="J16" s="38"/>
    </row>
    <row r="17" spans="1:10" x14ac:dyDescent="0.25">
      <c r="B17" s="49"/>
      <c r="E17" s="36"/>
      <c r="F17" s="32"/>
      <c r="G17" s="32"/>
      <c r="H17" s="31"/>
      <c r="I17" s="37"/>
      <c r="J17" s="38"/>
    </row>
    <row r="18" spans="1:10" x14ac:dyDescent="0.25">
      <c r="A18" s="44" t="s">
        <v>31</v>
      </c>
      <c r="B18" s="49"/>
      <c r="E18" s="36"/>
      <c r="F18" s="32"/>
      <c r="G18" s="32"/>
      <c r="H18" s="36"/>
      <c r="I18" s="37"/>
      <c r="J18" s="38"/>
    </row>
    <row r="19" spans="1:10" x14ac:dyDescent="0.25">
      <c r="A19" s="30" t="s">
        <v>32</v>
      </c>
      <c r="B19" s="49">
        <v>20000</v>
      </c>
      <c r="E19" s="36"/>
      <c r="F19" s="32"/>
      <c r="G19" s="32"/>
      <c r="H19" s="36"/>
      <c r="I19" s="37"/>
      <c r="J19" s="38"/>
    </row>
    <row r="20" spans="1:10" x14ac:dyDescent="0.25">
      <c r="A20" s="30" t="s">
        <v>33</v>
      </c>
      <c r="B20" s="49">
        <v>50000</v>
      </c>
      <c r="E20" s="36"/>
      <c r="F20" s="32"/>
      <c r="G20" s="32"/>
      <c r="H20" s="36"/>
      <c r="I20" s="32"/>
      <c r="J20" s="38"/>
    </row>
    <row r="21" spans="1:10" x14ac:dyDescent="0.25">
      <c r="B21" s="49"/>
      <c r="E21" s="39" t="s">
        <v>5</v>
      </c>
      <c r="F21" s="40"/>
      <c r="G21" s="41">
        <f>SUM(G6:G20)</f>
        <v>0</v>
      </c>
      <c r="H21" s="39" t="s">
        <v>5</v>
      </c>
      <c r="I21" s="40"/>
      <c r="J21" s="42">
        <f>SUM(J6:J20)</f>
        <v>0</v>
      </c>
    </row>
    <row r="22" spans="1:10" x14ac:dyDescent="0.25">
      <c r="A22" s="44" t="s">
        <v>34</v>
      </c>
      <c r="B22" s="49"/>
    </row>
    <row r="23" spans="1:10" x14ac:dyDescent="0.25">
      <c r="A23" s="30" t="s">
        <v>2</v>
      </c>
      <c r="B23" s="49">
        <v>80000</v>
      </c>
    </row>
    <row r="24" spans="1:10" x14ac:dyDescent="0.25">
      <c r="A24" s="30" t="s">
        <v>35</v>
      </c>
      <c r="B24" s="49">
        <v>30000</v>
      </c>
    </row>
    <row r="25" spans="1:10" x14ac:dyDescent="0.25">
      <c r="B25" s="49"/>
    </row>
    <row r="26" spans="1:10" x14ac:dyDescent="0.25">
      <c r="B26" s="49"/>
    </row>
    <row r="27" spans="1:10" x14ac:dyDescent="0.25">
      <c r="B27" s="49"/>
    </row>
  </sheetData>
  <mergeCells count="1">
    <mergeCell ref="E4:J5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64EFD-E39B-4671-A05F-B113A49DF065}">
  <dimension ref="B2:G19"/>
  <sheetViews>
    <sheetView workbookViewId="0">
      <selection activeCell="B2" sqref="B2:G19"/>
    </sheetView>
  </sheetViews>
  <sheetFormatPr baseColWidth="10" defaultRowHeight="15" x14ac:dyDescent="0.25"/>
  <cols>
    <col min="1" max="1" width="11.42578125" style="30"/>
    <col min="2" max="2" width="18.140625" style="30" bestFit="1" customWidth="1"/>
    <col min="3" max="4" width="12.5703125" style="30" bestFit="1" customWidth="1"/>
    <col min="5" max="5" width="25.85546875" style="30" bestFit="1" customWidth="1"/>
    <col min="6" max="6" width="11.42578125" style="30"/>
    <col min="7" max="7" width="12.5703125" style="30" bestFit="1" customWidth="1"/>
    <col min="8" max="16384" width="11.42578125" style="30"/>
  </cols>
  <sheetData>
    <row r="2" spans="2:7" x14ac:dyDescent="0.25">
      <c r="B2" s="96" t="s">
        <v>36</v>
      </c>
      <c r="C2" s="97"/>
      <c r="D2" s="97"/>
      <c r="E2" s="97"/>
      <c r="F2" s="97"/>
      <c r="G2" s="98"/>
    </row>
    <row r="3" spans="2:7" x14ac:dyDescent="0.25">
      <c r="B3" s="99"/>
      <c r="C3" s="100"/>
      <c r="D3" s="100"/>
      <c r="E3" s="100"/>
      <c r="F3" s="100"/>
      <c r="G3" s="101"/>
    </row>
    <row r="4" spans="2:7" x14ac:dyDescent="0.25">
      <c r="B4" s="31" t="s">
        <v>19</v>
      </c>
      <c r="C4" s="32"/>
      <c r="D4" s="32"/>
      <c r="E4" s="33" t="s">
        <v>25</v>
      </c>
      <c r="F4" s="34"/>
      <c r="G4" s="35"/>
    </row>
    <row r="5" spans="2:7" x14ac:dyDescent="0.25">
      <c r="B5" s="36" t="s">
        <v>13</v>
      </c>
      <c r="C5" s="37">
        <v>5000</v>
      </c>
      <c r="D5" s="32"/>
      <c r="E5" s="36" t="s">
        <v>26</v>
      </c>
      <c r="F5" s="37">
        <v>4000</v>
      </c>
      <c r="G5" s="38"/>
    </row>
    <row r="6" spans="2:7" x14ac:dyDescent="0.25">
      <c r="B6" s="36" t="s">
        <v>20</v>
      </c>
      <c r="C6" s="37">
        <v>13000</v>
      </c>
      <c r="D6" s="32"/>
      <c r="E6" s="36" t="s">
        <v>28</v>
      </c>
      <c r="F6" s="37">
        <v>5000</v>
      </c>
      <c r="G6" s="38"/>
    </row>
    <row r="7" spans="2:7" x14ac:dyDescent="0.25">
      <c r="B7" s="36" t="s">
        <v>17</v>
      </c>
      <c r="C7" s="37">
        <v>48000</v>
      </c>
      <c r="D7" s="32"/>
      <c r="E7" s="36" t="s">
        <v>29</v>
      </c>
      <c r="F7" s="37">
        <v>30000</v>
      </c>
      <c r="G7" s="38"/>
    </row>
    <row r="8" spans="2:7" x14ac:dyDescent="0.25">
      <c r="B8" s="36"/>
      <c r="C8" s="37"/>
      <c r="D8" s="32"/>
      <c r="E8" s="36" t="s">
        <v>30</v>
      </c>
      <c r="F8" s="37">
        <v>5000</v>
      </c>
      <c r="G8" s="38"/>
    </row>
    <row r="9" spans="2:7" x14ac:dyDescent="0.25">
      <c r="B9" s="36"/>
      <c r="C9" s="32"/>
      <c r="D9" s="32"/>
      <c r="E9" s="36"/>
      <c r="F9" s="32"/>
      <c r="G9" s="38"/>
    </row>
    <row r="10" spans="2:7" x14ac:dyDescent="0.25">
      <c r="B10" s="31" t="s">
        <v>21</v>
      </c>
      <c r="C10" s="37"/>
      <c r="D10" s="32"/>
      <c r="E10" s="31" t="s">
        <v>31</v>
      </c>
      <c r="F10" s="37"/>
      <c r="G10" s="38"/>
    </row>
    <row r="11" spans="2:7" x14ac:dyDescent="0.25">
      <c r="B11" s="36" t="s">
        <v>22</v>
      </c>
      <c r="C11" s="37">
        <v>30000</v>
      </c>
      <c r="D11" s="32"/>
      <c r="E11" s="36" t="s">
        <v>32</v>
      </c>
      <c r="F11" s="37">
        <v>20000</v>
      </c>
      <c r="G11" s="38"/>
    </row>
    <row r="12" spans="2:7" x14ac:dyDescent="0.25">
      <c r="B12" s="36" t="s">
        <v>14</v>
      </c>
      <c r="C12" s="37">
        <v>120000</v>
      </c>
      <c r="D12" s="32"/>
      <c r="E12" s="36" t="s">
        <v>33</v>
      </c>
      <c r="F12" s="37">
        <v>50000</v>
      </c>
      <c r="G12" s="38"/>
    </row>
    <row r="13" spans="2:7" x14ac:dyDescent="0.25">
      <c r="B13" s="36" t="s">
        <v>23</v>
      </c>
      <c r="C13" s="37">
        <v>6000</v>
      </c>
      <c r="D13" s="32"/>
      <c r="E13" s="36"/>
      <c r="F13" s="32"/>
      <c r="G13" s="38"/>
    </row>
    <row r="14" spans="2:7" x14ac:dyDescent="0.25">
      <c r="B14" s="36" t="s">
        <v>24</v>
      </c>
      <c r="C14" s="37">
        <v>2000</v>
      </c>
      <c r="D14" s="32"/>
      <c r="E14" s="36"/>
      <c r="F14" s="32"/>
      <c r="G14" s="38"/>
    </row>
    <row r="15" spans="2:7" x14ac:dyDescent="0.25">
      <c r="B15" s="36"/>
      <c r="C15" s="32"/>
      <c r="D15" s="32"/>
      <c r="E15" s="31" t="s">
        <v>34</v>
      </c>
      <c r="F15" s="37"/>
      <c r="G15" s="38"/>
    </row>
    <row r="16" spans="2:7" x14ac:dyDescent="0.25">
      <c r="B16" s="36"/>
      <c r="C16" s="32"/>
      <c r="D16" s="32"/>
      <c r="E16" s="36" t="s">
        <v>2</v>
      </c>
      <c r="F16" s="37">
        <v>80000</v>
      </c>
      <c r="G16" s="38"/>
    </row>
    <row r="17" spans="2:7" x14ac:dyDescent="0.25">
      <c r="B17" s="36"/>
      <c r="C17" s="32"/>
      <c r="D17" s="32"/>
      <c r="E17" s="36" t="s">
        <v>35</v>
      </c>
      <c r="F17" s="37">
        <v>30000</v>
      </c>
      <c r="G17" s="38"/>
    </row>
    <row r="18" spans="2:7" x14ac:dyDescent="0.25">
      <c r="B18" s="36"/>
      <c r="C18" s="32"/>
      <c r="D18" s="32"/>
      <c r="E18" s="36"/>
      <c r="F18" s="32"/>
      <c r="G18" s="38"/>
    </row>
    <row r="19" spans="2:7" x14ac:dyDescent="0.25">
      <c r="B19" s="39" t="s">
        <v>5</v>
      </c>
      <c r="C19" s="40"/>
      <c r="D19" s="41">
        <f>SUM(C5:C14)</f>
        <v>224000</v>
      </c>
      <c r="E19" s="39" t="s">
        <v>5</v>
      </c>
      <c r="F19" s="40"/>
      <c r="G19" s="42">
        <f>SUM(F5:F18)</f>
        <v>224000</v>
      </c>
    </row>
  </sheetData>
  <mergeCells count="1">
    <mergeCell ref="B2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1D175-74B4-4096-BD14-B8AD6AE37541}">
  <dimension ref="B4:J16"/>
  <sheetViews>
    <sheetView workbookViewId="0">
      <selection activeCell="G4" sqref="G4:J16"/>
    </sheetView>
  </sheetViews>
  <sheetFormatPr baseColWidth="10" defaultRowHeight="15" x14ac:dyDescent="0.25"/>
  <cols>
    <col min="1" max="1" width="11.42578125" style="30"/>
    <col min="2" max="2" width="19.7109375" style="30" bestFit="1" customWidth="1"/>
    <col min="3" max="3" width="12.5703125" style="30" bestFit="1" customWidth="1"/>
    <col min="4" max="4" width="22.140625" style="30" bestFit="1" customWidth="1"/>
    <col min="5" max="5" width="12.5703125" style="30" bestFit="1" customWidth="1"/>
    <col min="6" max="6" width="11.42578125" style="30"/>
    <col min="7" max="7" width="21" style="30" bestFit="1" customWidth="1"/>
    <col min="8" max="8" width="12.5703125" style="30" bestFit="1" customWidth="1"/>
    <col min="9" max="9" width="22.140625" style="30" bestFit="1" customWidth="1"/>
    <col min="10" max="10" width="12.5703125" style="30" bestFit="1" customWidth="1"/>
    <col min="11" max="16384" width="11.42578125" style="30"/>
  </cols>
  <sheetData>
    <row r="4" spans="2:10" ht="15.75" x14ac:dyDescent="0.3">
      <c r="B4" s="108" t="s">
        <v>6</v>
      </c>
      <c r="C4" s="108"/>
      <c r="D4" s="108"/>
      <c r="E4" s="108"/>
      <c r="G4" s="110" t="s">
        <v>16</v>
      </c>
      <c r="H4" s="110"/>
      <c r="I4" s="110"/>
      <c r="J4" s="110"/>
    </row>
    <row r="5" spans="2:10" ht="15.75" x14ac:dyDescent="0.3">
      <c r="B5" s="109" t="s">
        <v>9</v>
      </c>
      <c r="C5" s="109"/>
      <c r="D5" s="109"/>
      <c r="E5" s="109"/>
      <c r="G5" s="111" t="s">
        <v>9</v>
      </c>
      <c r="H5" s="111"/>
      <c r="I5" s="111"/>
      <c r="J5" s="111"/>
    </row>
    <row r="6" spans="2:10" ht="15.75" x14ac:dyDescent="0.3">
      <c r="B6" s="102" t="s">
        <v>8</v>
      </c>
      <c r="C6" s="103"/>
      <c r="D6" s="103"/>
      <c r="E6" s="104"/>
      <c r="G6" s="105" t="s">
        <v>8</v>
      </c>
      <c r="H6" s="106"/>
      <c r="I6" s="106"/>
      <c r="J6" s="107"/>
    </row>
    <row r="7" spans="2:10" x14ac:dyDescent="0.25">
      <c r="B7" s="31" t="s">
        <v>3</v>
      </c>
      <c r="C7" s="43"/>
      <c r="D7" s="44" t="s">
        <v>4</v>
      </c>
      <c r="E7" s="45"/>
      <c r="G7" s="31" t="s">
        <v>3</v>
      </c>
      <c r="H7" s="43"/>
      <c r="I7" s="44" t="s">
        <v>4</v>
      </c>
      <c r="J7" s="45"/>
    </row>
    <row r="8" spans="2:10" x14ac:dyDescent="0.25">
      <c r="B8" s="36" t="s">
        <v>13</v>
      </c>
      <c r="C8" s="46">
        <v>55000</v>
      </c>
      <c r="D8" s="30" t="s">
        <v>27</v>
      </c>
      <c r="E8" s="46">
        <v>23400</v>
      </c>
      <c r="G8" s="36" t="s">
        <v>13</v>
      </c>
      <c r="H8" s="46">
        <v>30000</v>
      </c>
      <c r="I8" s="30" t="s">
        <v>27</v>
      </c>
      <c r="J8" s="46">
        <v>23400</v>
      </c>
    </row>
    <row r="9" spans="2:10" x14ac:dyDescent="0.25">
      <c r="B9" s="36" t="s">
        <v>18</v>
      </c>
      <c r="C9" s="46">
        <v>19600</v>
      </c>
      <c r="D9" s="30" t="s">
        <v>10</v>
      </c>
      <c r="E9" s="46">
        <v>3000</v>
      </c>
      <c r="G9" s="36" t="s">
        <v>18</v>
      </c>
      <c r="H9" s="46">
        <v>14200</v>
      </c>
      <c r="I9" s="30" t="s">
        <v>10</v>
      </c>
      <c r="J9" s="46">
        <v>33000</v>
      </c>
    </row>
    <row r="10" spans="2:10" x14ac:dyDescent="0.25">
      <c r="B10" s="36" t="s">
        <v>17</v>
      </c>
      <c r="C10" s="46">
        <v>18000</v>
      </c>
      <c r="E10" s="46"/>
      <c r="G10" s="36" t="s">
        <v>17</v>
      </c>
      <c r="H10" s="46">
        <v>33000</v>
      </c>
      <c r="J10" s="46"/>
    </row>
    <row r="11" spans="2:10" x14ac:dyDescent="0.25">
      <c r="B11" s="31" t="s">
        <v>0</v>
      </c>
      <c r="C11" s="47"/>
      <c r="D11" s="31" t="s">
        <v>7</v>
      </c>
      <c r="E11" s="48"/>
      <c r="G11" s="31" t="s">
        <v>0</v>
      </c>
      <c r="H11" s="47"/>
      <c r="I11" s="31" t="s">
        <v>7</v>
      </c>
      <c r="J11" s="48"/>
    </row>
    <row r="12" spans="2:10" x14ac:dyDescent="0.25">
      <c r="B12" s="36" t="s">
        <v>15</v>
      </c>
      <c r="C12" s="46">
        <v>7500</v>
      </c>
      <c r="D12" s="36" t="s">
        <v>37</v>
      </c>
      <c r="E12" s="46">
        <v>20000</v>
      </c>
      <c r="G12" s="36" t="s">
        <v>15</v>
      </c>
      <c r="H12" s="46">
        <v>7500</v>
      </c>
      <c r="I12" s="36" t="s">
        <v>11</v>
      </c>
      <c r="J12" s="46">
        <v>30000</v>
      </c>
    </row>
    <row r="13" spans="2:10" x14ac:dyDescent="0.25">
      <c r="B13" s="36"/>
      <c r="C13" s="49"/>
      <c r="D13" s="31" t="s">
        <v>1</v>
      </c>
      <c r="E13" s="48"/>
      <c r="G13" s="36" t="s">
        <v>14</v>
      </c>
      <c r="H13" s="46">
        <v>15400</v>
      </c>
      <c r="I13" s="31" t="s">
        <v>1</v>
      </c>
      <c r="J13" s="48"/>
    </row>
    <row r="14" spans="2:10" x14ac:dyDescent="0.25">
      <c r="B14" s="36"/>
      <c r="C14" s="49"/>
      <c r="D14" s="36" t="s">
        <v>2</v>
      </c>
      <c r="E14" s="46">
        <v>30000</v>
      </c>
      <c r="G14" s="36"/>
      <c r="H14" s="49"/>
      <c r="I14" s="36" t="s">
        <v>2</v>
      </c>
      <c r="J14" s="46">
        <v>10000</v>
      </c>
    </row>
    <row r="15" spans="2:10" x14ac:dyDescent="0.25">
      <c r="B15" s="36"/>
      <c r="C15" s="46"/>
      <c r="D15" s="30" t="s">
        <v>12</v>
      </c>
      <c r="E15" s="46">
        <v>23700</v>
      </c>
      <c r="G15" s="36"/>
      <c r="H15" s="46"/>
      <c r="I15" s="30" t="s">
        <v>12</v>
      </c>
      <c r="J15" s="46">
        <v>3700</v>
      </c>
    </row>
    <row r="16" spans="2:10" x14ac:dyDescent="0.25">
      <c r="B16" s="50" t="s">
        <v>5</v>
      </c>
      <c r="C16" s="51">
        <f>SUM(C7:C15)</f>
        <v>100100</v>
      </c>
      <c r="D16" s="52" t="s">
        <v>5</v>
      </c>
      <c r="E16" s="51">
        <f>SUM(E7:E15)</f>
        <v>100100</v>
      </c>
      <c r="G16" s="50" t="s">
        <v>5</v>
      </c>
      <c r="H16" s="51">
        <f>SUM(H7:H15)</f>
        <v>100100</v>
      </c>
      <c r="I16" s="52" t="s">
        <v>5</v>
      </c>
      <c r="J16" s="51">
        <f>SUM(J7:J15)</f>
        <v>100100</v>
      </c>
    </row>
  </sheetData>
  <mergeCells count="6">
    <mergeCell ref="B6:E6"/>
    <mergeCell ref="G6:J6"/>
    <mergeCell ref="B4:E4"/>
    <mergeCell ref="B5:E5"/>
    <mergeCell ref="G4:J4"/>
    <mergeCell ref="G5:J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15AE1-A014-4F62-A205-D067E0F3FE36}">
  <dimension ref="A2:D22"/>
  <sheetViews>
    <sheetView workbookViewId="0">
      <selection activeCell="E41" sqref="E41"/>
    </sheetView>
  </sheetViews>
  <sheetFormatPr baseColWidth="10" defaultRowHeight="15" x14ac:dyDescent="0.25"/>
  <cols>
    <col min="1" max="1" width="22.140625" style="30" bestFit="1" customWidth="1"/>
    <col min="2" max="16384" width="11.42578125" style="30"/>
  </cols>
  <sheetData>
    <row r="2" spans="1:4" x14ac:dyDescent="0.25">
      <c r="B2" s="112" t="s">
        <v>6</v>
      </c>
      <c r="C2" s="112"/>
      <c r="D2" s="112"/>
    </row>
    <row r="3" spans="1:4" x14ac:dyDescent="0.25">
      <c r="B3" s="94"/>
      <c r="C3" s="94"/>
      <c r="D3" s="94"/>
    </row>
    <row r="4" spans="1:4" ht="15.75" x14ac:dyDescent="0.25">
      <c r="A4" s="56"/>
      <c r="B4" s="69">
        <v>2021</v>
      </c>
      <c r="C4" s="70">
        <v>2022</v>
      </c>
      <c r="D4" s="69">
        <v>2023</v>
      </c>
    </row>
    <row r="5" spans="1:4" x14ac:dyDescent="0.25">
      <c r="A5" s="57" t="s">
        <v>3</v>
      </c>
      <c r="B5" s="58"/>
      <c r="C5" s="56"/>
      <c r="D5" s="59"/>
    </row>
    <row r="6" spans="1:4" x14ac:dyDescent="0.25">
      <c r="A6" s="60" t="s">
        <v>13</v>
      </c>
      <c r="B6" s="61">
        <v>55000</v>
      </c>
      <c r="C6" s="62">
        <v>67650</v>
      </c>
      <c r="D6" s="61">
        <v>89974.5</v>
      </c>
    </row>
    <row r="7" spans="1:4" x14ac:dyDescent="0.25">
      <c r="A7" s="60" t="s">
        <v>18</v>
      </c>
      <c r="B7" s="61">
        <v>19600</v>
      </c>
      <c r="C7" s="62">
        <v>24108</v>
      </c>
      <c r="D7" s="61">
        <v>32063.640000000003</v>
      </c>
    </row>
    <row r="8" spans="1:4" x14ac:dyDescent="0.25">
      <c r="A8" s="60" t="s">
        <v>17</v>
      </c>
      <c r="B8" s="61">
        <v>18000</v>
      </c>
      <c r="C8" s="62">
        <v>22140</v>
      </c>
      <c r="D8" s="61">
        <v>29446.2</v>
      </c>
    </row>
    <row r="9" spans="1:4" x14ac:dyDescent="0.25">
      <c r="A9" s="56"/>
      <c r="B9" s="59"/>
      <c r="C9" s="62"/>
      <c r="D9" s="61"/>
    </row>
    <row r="10" spans="1:4" x14ac:dyDescent="0.25">
      <c r="A10" s="57" t="s">
        <v>0</v>
      </c>
      <c r="B10" s="63"/>
      <c r="C10" s="56"/>
      <c r="D10" s="59"/>
    </row>
    <row r="11" spans="1:4" x14ac:dyDescent="0.25">
      <c r="A11" s="60" t="s">
        <v>15</v>
      </c>
      <c r="B11" s="61">
        <v>7500</v>
      </c>
      <c r="C11" s="62">
        <v>9225</v>
      </c>
      <c r="D11" s="61">
        <v>12269.25</v>
      </c>
    </row>
    <row r="12" spans="1:4" x14ac:dyDescent="0.25">
      <c r="A12" s="56"/>
      <c r="B12" s="59"/>
      <c r="C12" s="56"/>
      <c r="D12" s="59"/>
    </row>
    <row r="13" spans="1:4" x14ac:dyDescent="0.25">
      <c r="A13" s="64" t="s">
        <v>4</v>
      </c>
      <c r="B13" s="65"/>
      <c r="C13" s="56"/>
      <c r="D13" s="59"/>
    </row>
    <row r="14" spans="1:4" x14ac:dyDescent="0.25">
      <c r="A14" s="56" t="s">
        <v>27</v>
      </c>
      <c r="B14" s="61">
        <v>23400</v>
      </c>
      <c r="C14" s="66">
        <v>28782</v>
      </c>
      <c r="D14" s="61">
        <v>38280.060000000005</v>
      </c>
    </row>
    <row r="15" spans="1:4" x14ac:dyDescent="0.25">
      <c r="A15" s="56" t="s">
        <v>10</v>
      </c>
      <c r="B15" s="61">
        <v>3000</v>
      </c>
      <c r="C15" s="66">
        <v>3690</v>
      </c>
      <c r="D15" s="61">
        <v>4907.7</v>
      </c>
    </row>
    <row r="16" spans="1:4" x14ac:dyDescent="0.25">
      <c r="A16" s="56"/>
      <c r="B16" s="59"/>
      <c r="C16" s="66"/>
      <c r="D16" s="61"/>
    </row>
    <row r="17" spans="1:4" x14ac:dyDescent="0.25">
      <c r="A17" s="57" t="s">
        <v>7</v>
      </c>
      <c r="B17" s="63"/>
      <c r="C17" s="56"/>
      <c r="D17" s="59"/>
    </row>
    <row r="18" spans="1:4" x14ac:dyDescent="0.25">
      <c r="A18" s="60" t="s">
        <v>37</v>
      </c>
      <c r="B18" s="61">
        <v>20000</v>
      </c>
      <c r="C18" s="66">
        <v>24600</v>
      </c>
      <c r="D18" s="61">
        <v>32718</v>
      </c>
    </row>
    <row r="19" spans="1:4" x14ac:dyDescent="0.25">
      <c r="A19" s="60"/>
      <c r="B19" s="61"/>
      <c r="C19" s="66"/>
      <c r="D19" s="61"/>
    </row>
    <row r="20" spans="1:4" x14ac:dyDescent="0.25">
      <c r="A20" s="57" t="s">
        <v>1</v>
      </c>
      <c r="B20" s="63"/>
      <c r="C20" s="66"/>
      <c r="D20" s="61"/>
    </row>
    <row r="21" spans="1:4" x14ac:dyDescent="0.25">
      <c r="A21" s="60" t="s">
        <v>2</v>
      </c>
      <c r="B21" s="61">
        <v>30000</v>
      </c>
      <c r="C21" s="66">
        <v>36900</v>
      </c>
      <c r="D21" s="61">
        <v>49077</v>
      </c>
    </row>
    <row r="22" spans="1:4" x14ac:dyDescent="0.25">
      <c r="A22" s="56" t="s">
        <v>12</v>
      </c>
      <c r="B22" s="67">
        <v>23700</v>
      </c>
      <c r="C22" s="68">
        <v>29151</v>
      </c>
      <c r="D22" s="67">
        <v>38770.83</v>
      </c>
    </row>
  </sheetData>
  <mergeCells count="1">
    <mergeCell ref="B2:D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F6EA8-1FE3-4C78-9E2D-0DD6CE579300}">
  <dimension ref="B2:Q24"/>
  <sheetViews>
    <sheetView topLeftCell="C1" zoomScale="112" zoomScaleNormal="112" workbookViewId="0">
      <selection activeCell="N10" sqref="N10"/>
    </sheetView>
  </sheetViews>
  <sheetFormatPr baseColWidth="10" defaultRowHeight="15" x14ac:dyDescent="0.25"/>
  <cols>
    <col min="2" max="2" width="19.7109375" bestFit="1" customWidth="1"/>
    <col min="3" max="3" width="12.5703125" bestFit="1" customWidth="1"/>
    <col min="4" max="4" width="22.140625" bestFit="1" customWidth="1"/>
    <col min="5" max="5" width="12.5703125" bestFit="1" customWidth="1"/>
    <col min="7" max="7" width="19.7109375" bestFit="1" customWidth="1"/>
    <col min="8" max="8" width="12.5703125" bestFit="1" customWidth="1"/>
    <col min="9" max="9" width="22.140625" bestFit="1" customWidth="1"/>
    <col min="10" max="10" width="12.5703125" bestFit="1" customWidth="1"/>
    <col min="11" max="11" width="12.5703125" customWidth="1"/>
    <col min="12" max="12" width="12.5703125" bestFit="1" customWidth="1"/>
    <col min="13" max="13" width="19.7109375" bestFit="1" customWidth="1"/>
    <col min="14" max="14" width="12.5703125" bestFit="1" customWidth="1"/>
    <col min="15" max="15" width="22.140625" bestFit="1" customWidth="1"/>
    <col min="16" max="16" width="12.5703125" bestFit="1" customWidth="1"/>
    <col min="17" max="17" width="14.140625" bestFit="1" customWidth="1"/>
  </cols>
  <sheetData>
    <row r="2" spans="2:17" x14ac:dyDescent="0.25">
      <c r="B2" t="s">
        <v>6</v>
      </c>
      <c r="G2" t="s">
        <v>6</v>
      </c>
      <c r="M2" t="s">
        <v>6</v>
      </c>
    </row>
    <row r="3" spans="2:17" x14ac:dyDescent="0.25">
      <c r="B3" t="s">
        <v>9</v>
      </c>
      <c r="G3" t="s">
        <v>38</v>
      </c>
      <c r="M3" t="s">
        <v>39</v>
      </c>
    </row>
    <row r="6" spans="2:17" x14ac:dyDescent="0.25">
      <c r="B6" s="113" t="s">
        <v>8</v>
      </c>
      <c r="C6" s="114"/>
      <c r="D6" s="114"/>
      <c r="E6" s="115"/>
      <c r="G6" s="113" t="s">
        <v>8</v>
      </c>
      <c r="H6" s="114"/>
      <c r="I6" s="114"/>
      <c r="J6" s="115"/>
      <c r="K6" s="77"/>
      <c r="M6" s="113" t="s">
        <v>8</v>
      </c>
      <c r="N6" s="114"/>
      <c r="O6" s="114"/>
      <c r="P6" s="115"/>
    </row>
    <row r="7" spans="2:17" x14ac:dyDescent="0.25">
      <c r="B7" s="6" t="s">
        <v>3</v>
      </c>
      <c r="C7" s="3"/>
      <c r="D7" s="2" t="s">
        <v>4</v>
      </c>
      <c r="E7" s="5"/>
      <c r="G7" s="6" t="s">
        <v>3</v>
      </c>
      <c r="H7" s="9"/>
      <c r="I7" s="1" t="s">
        <v>4</v>
      </c>
      <c r="J7" s="18"/>
      <c r="K7" s="78"/>
      <c r="M7" s="6" t="s">
        <v>3</v>
      </c>
      <c r="N7" s="9"/>
      <c r="O7" s="1" t="s">
        <v>4</v>
      </c>
      <c r="P7" s="18"/>
    </row>
    <row r="8" spans="2:17" x14ac:dyDescent="0.25">
      <c r="B8" s="4" t="s">
        <v>13</v>
      </c>
      <c r="C8" s="10">
        <v>55000</v>
      </c>
      <c r="D8" t="s">
        <v>27</v>
      </c>
      <c r="E8" s="10">
        <v>23400</v>
      </c>
      <c r="G8" s="4" t="s">
        <v>13</v>
      </c>
      <c r="H8" s="12">
        <v>67650</v>
      </c>
      <c r="I8" s="16" t="s">
        <v>27</v>
      </c>
      <c r="J8" s="10">
        <v>28782</v>
      </c>
      <c r="K8" s="17"/>
      <c r="M8" s="4" t="s">
        <v>13</v>
      </c>
      <c r="N8" s="12">
        <v>89974.5</v>
      </c>
      <c r="O8" s="16" t="s">
        <v>27</v>
      </c>
      <c r="P8" s="10">
        <v>38280.060000000005</v>
      </c>
      <c r="Q8" t="s">
        <v>77</v>
      </c>
    </row>
    <row r="9" spans="2:17" x14ac:dyDescent="0.25">
      <c r="B9" s="4" t="s">
        <v>18</v>
      </c>
      <c r="C9" s="10">
        <v>19600</v>
      </c>
      <c r="D9" t="s">
        <v>10</v>
      </c>
      <c r="E9" s="10">
        <v>3000</v>
      </c>
      <c r="G9" s="4" t="s">
        <v>18</v>
      </c>
      <c r="H9" s="12">
        <v>24108</v>
      </c>
      <c r="I9" s="16" t="s">
        <v>10</v>
      </c>
      <c r="J9" s="10">
        <v>3690</v>
      </c>
      <c r="K9" s="17"/>
      <c r="L9" t="s">
        <v>78</v>
      </c>
      <c r="M9" s="4" t="s">
        <v>18</v>
      </c>
      <c r="N9" s="12">
        <v>32063.640000000003</v>
      </c>
      <c r="O9" s="16" t="s">
        <v>10</v>
      </c>
      <c r="P9" s="10">
        <v>4907.7</v>
      </c>
      <c r="Q9" s="24">
        <f>SUM(P8:P9)</f>
        <v>43187.76</v>
      </c>
    </row>
    <row r="10" spans="2:17" x14ac:dyDescent="0.25">
      <c r="B10" s="4" t="s">
        <v>17</v>
      </c>
      <c r="C10" s="10">
        <v>18000</v>
      </c>
      <c r="E10" s="10"/>
      <c r="G10" s="4" t="s">
        <v>17</v>
      </c>
      <c r="H10" s="12">
        <v>22140</v>
      </c>
      <c r="I10" s="16"/>
      <c r="J10" s="10"/>
      <c r="K10" s="17"/>
      <c r="L10" s="24">
        <f>SUM(N8:N10)</f>
        <v>151484.34</v>
      </c>
      <c r="M10" s="4" t="s">
        <v>17</v>
      </c>
      <c r="N10" s="12">
        <v>29446.2</v>
      </c>
      <c r="O10" s="16"/>
      <c r="P10" s="10"/>
    </row>
    <row r="11" spans="2:17" x14ac:dyDescent="0.25">
      <c r="B11" s="6" t="s">
        <v>0</v>
      </c>
      <c r="C11" s="11"/>
      <c r="D11" s="6" t="s">
        <v>7</v>
      </c>
      <c r="E11" s="14"/>
      <c r="G11" s="6" t="s">
        <v>0</v>
      </c>
      <c r="H11" s="12"/>
      <c r="I11" s="15" t="s">
        <v>7</v>
      </c>
      <c r="J11" s="10"/>
      <c r="K11" s="17"/>
      <c r="L11" t="s">
        <v>79</v>
      </c>
      <c r="M11" s="6" t="s">
        <v>0</v>
      </c>
      <c r="N11" s="12"/>
      <c r="O11" s="15" t="s">
        <v>7</v>
      </c>
      <c r="P11" s="10"/>
      <c r="Q11" t="s">
        <v>76</v>
      </c>
    </row>
    <row r="12" spans="2:17" x14ac:dyDescent="0.25">
      <c r="B12" s="4" t="s">
        <v>15</v>
      </c>
      <c r="C12" s="10">
        <v>7500</v>
      </c>
      <c r="D12" s="4" t="s">
        <v>37</v>
      </c>
      <c r="E12" s="10">
        <v>20000</v>
      </c>
      <c r="G12" s="4" t="s">
        <v>15</v>
      </c>
      <c r="H12" s="12">
        <v>9225</v>
      </c>
      <c r="I12" s="16" t="s">
        <v>37</v>
      </c>
      <c r="J12" s="10">
        <v>24600</v>
      </c>
      <c r="K12" s="17"/>
      <c r="L12" s="24">
        <f>SUM(N8:N12)</f>
        <v>163753.59</v>
      </c>
      <c r="M12" s="4" t="s">
        <v>15</v>
      </c>
      <c r="N12" s="12">
        <v>12269.25</v>
      </c>
      <c r="O12" s="16" t="s">
        <v>37</v>
      </c>
      <c r="P12" s="10">
        <v>32718</v>
      </c>
      <c r="Q12" s="24">
        <f>SUM(P8:P12)</f>
        <v>75905.760000000009</v>
      </c>
    </row>
    <row r="13" spans="2:17" x14ac:dyDescent="0.25">
      <c r="B13" s="4"/>
      <c r="C13" s="12"/>
      <c r="D13" s="6" t="s">
        <v>1</v>
      </c>
      <c r="E13" s="14"/>
      <c r="G13" s="4"/>
      <c r="H13" s="17"/>
      <c r="I13" s="15" t="s">
        <v>1</v>
      </c>
      <c r="J13" s="10"/>
      <c r="K13" s="17"/>
      <c r="M13" s="4"/>
      <c r="N13" s="12"/>
      <c r="O13" s="15" t="s">
        <v>1</v>
      </c>
      <c r="P13" s="10"/>
    </row>
    <row r="14" spans="2:17" x14ac:dyDescent="0.25">
      <c r="B14" s="4"/>
      <c r="C14" s="12"/>
      <c r="D14" s="4" t="s">
        <v>2</v>
      </c>
      <c r="E14" s="10">
        <v>30000</v>
      </c>
      <c r="G14" s="4"/>
      <c r="H14" s="12"/>
      <c r="I14" s="16" t="s">
        <v>2</v>
      </c>
      <c r="J14" s="10">
        <v>36900</v>
      </c>
      <c r="K14" s="17"/>
      <c r="M14" s="4"/>
      <c r="N14" s="12"/>
      <c r="O14" s="16" t="s">
        <v>2</v>
      </c>
      <c r="P14" s="10">
        <v>49077</v>
      </c>
      <c r="Q14" t="s">
        <v>80</v>
      </c>
    </row>
    <row r="15" spans="2:17" x14ac:dyDescent="0.25">
      <c r="B15" s="4"/>
      <c r="C15" s="10"/>
      <c r="D15" t="s">
        <v>12</v>
      </c>
      <c r="E15" s="10">
        <v>23700</v>
      </c>
      <c r="G15" s="4"/>
      <c r="H15" s="17"/>
      <c r="I15" s="19" t="s">
        <v>12</v>
      </c>
      <c r="J15" s="20">
        <v>29151</v>
      </c>
      <c r="K15" s="17"/>
      <c r="M15" s="4"/>
      <c r="N15" s="17"/>
      <c r="O15" s="19" t="s">
        <v>12</v>
      </c>
      <c r="P15" s="20">
        <v>38770.83</v>
      </c>
      <c r="Q15" s="24">
        <f>SUM(P14:P15)</f>
        <v>87847.83</v>
      </c>
    </row>
    <row r="16" spans="2:17" x14ac:dyDescent="0.25">
      <c r="B16" s="7" t="s">
        <v>5</v>
      </c>
      <c r="C16" s="13">
        <f>SUM(C7:C15)</f>
        <v>100100</v>
      </c>
      <c r="D16" s="8" t="s">
        <v>5</v>
      </c>
      <c r="E16" s="13">
        <f>SUM(E7:E15)</f>
        <v>100100</v>
      </c>
      <c r="G16" s="7" t="s">
        <v>5</v>
      </c>
      <c r="H16" s="13">
        <f>SUM(H7:H15)</f>
        <v>123123</v>
      </c>
      <c r="I16" s="8" t="s">
        <v>5</v>
      </c>
      <c r="J16" s="13">
        <f>SUM(J7:J15)</f>
        <v>123123</v>
      </c>
      <c r="K16" s="79"/>
      <c r="M16" s="7" t="s">
        <v>5</v>
      </c>
      <c r="N16" s="13">
        <f>SUM(N7:N15)</f>
        <v>163753.59</v>
      </c>
      <c r="O16" s="8" t="s">
        <v>5</v>
      </c>
      <c r="P16" s="13">
        <f>SUM(P7:P15)</f>
        <v>163753.59000000003</v>
      </c>
    </row>
    <row r="20" spans="13:16" x14ac:dyDescent="0.25">
      <c r="M20" t="s">
        <v>73</v>
      </c>
      <c r="N20" s="80">
        <f>Q12/Q15</f>
        <v>0.86405959031657364</v>
      </c>
      <c r="P20" s="24"/>
    </row>
    <row r="21" spans="13:16" x14ac:dyDescent="0.25">
      <c r="N21" s="80"/>
    </row>
    <row r="22" spans="13:16" x14ac:dyDescent="0.25">
      <c r="M22" t="s">
        <v>74</v>
      </c>
      <c r="N22" s="80">
        <f>L10/Q9</f>
        <v>3.5075757575757573</v>
      </c>
    </row>
    <row r="23" spans="13:16" x14ac:dyDescent="0.25">
      <c r="N23" s="80"/>
    </row>
    <row r="24" spans="13:16" x14ac:dyDescent="0.25">
      <c r="M24" t="s">
        <v>75</v>
      </c>
      <c r="N24" s="80">
        <f>Q12/L12</f>
        <v>0.46353646353646361</v>
      </c>
    </row>
  </sheetData>
  <mergeCells count="3">
    <mergeCell ref="B6:E6"/>
    <mergeCell ref="G6:J6"/>
    <mergeCell ref="M6:P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71679-D1AE-4DAE-AB39-AF51806EB782}">
  <dimension ref="A1:C15"/>
  <sheetViews>
    <sheetView workbookViewId="0">
      <selection activeCell="K34" sqref="K34"/>
    </sheetView>
  </sheetViews>
  <sheetFormatPr baseColWidth="10" defaultRowHeight="15" x14ac:dyDescent="0.25"/>
  <cols>
    <col min="1" max="1" width="33.7109375" customWidth="1"/>
  </cols>
  <sheetData>
    <row r="1" spans="1:3" x14ac:dyDescent="0.25">
      <c r="A1" s="75" t="s">
        <v>49</v>
      </c>
      <c r="B1" s="53"/>
      <c r="C1" s="53"/>
    </row>
    <row r="2" spans="1:3" x14ac:dyDescent="0.25">
      <c r="A2" s="54" t="s">
        <v>2</v>
      </c>
      <c r="B2" s="55">
        <v>5000</v>
      </c>
      <c r="C2" s="54"/>
    </row>
    <row r="3" spans="1:3" x14ac:dyDescent="0.25">
      <c r="A3" s="54" t="s">
        <v>40</v>
      </c>
      <c r="B3" s="54">
        <v>10</v>
      </c>
      <c r="C3" s="54" t="s">
        <v>41</v>
      </c>
    </row>
    <row r="4" spans="1:3" x14ac:dyDescent="0.25">
      <c r="A4" s="54" t="s">
        <v>43</v>
      </c>
      <c r="B4" s="72">
        <v>0.15</v>
      </c>
      <c r="C4" s="54" t="s">
        <v>47</v>
      </c>
    </row>
    <row r="5" spans="1:3" x14ac:dyDescent="0.25">
      <c r="A5" s="54"/>
      <c r="B5" s="54"/>
      <c r="C5" s="54"/>
    </row>
    <row r="6" spans="1:3" x14ac:dyDescent="0.25">
      <c r="A6" s="54" t="s">
        <v>42</v>
      </c>
      <c r="B6" s="73">
        <f>B2*(1+B4)^B3</f>
        <v>20227.788678539535</v>
      </c>
      <c r="C6" s="54"/>
    </row>
    <row r="7" spans="1:3" x14ac:dyDescent="0.25">
      <c r="A7" s="54"/>
      <c r="B7" s="73"/>
      <c r="C7" s="54"/>
    </row>
    <row r="8" spans="1:3" x14ac:dyDescent="0.25">
      <c r="A8" s="54"/>
      <c r="B8" s="73"/>
      <c r="C8" s="54"/>
    </row>
    <row r="9" spans="1:3" x14ac:dyDescent="0.25">
      <c r="A9" s="53"/>
      <c r="B9" s="53"/>
      <c r="C9" s="53"/>
    </row>
    <row r="10" spans="1:3" x14ac:dyDescent="0.25">
      <c r="A10" s="75" t="s">
        <v>81</v>
      </c>
      <c r="B10" s="53"/>
      <c r="C10" s="53"/>
    </row>
    <row r="11" spans="1:3" x14ac:dyDescent="0.25">
      <c r="A11" s="54" t="s">
        <v>2</v>
      </c>
      <c r="B11" s="55">
        <v>5000</v>
      </c>
      <c r="C11" s="54"/>
    </row>
    <row r="12" spans="1:3" x14ac:dyDescent="0.25">
      <c r="A12" s="54" t="s">
        <v>45</v>
      </c>
      <c r="B12" s="54">
        <v>10</v>
      </c>
      <c r="C12" s="54" t="s">
        <v>41</v>
      </c>
    </row>
    <row r="13" spans="1:3" x14ac:dyDescent="0.25">
      <c r="A13" s="54" t="s">
        <v>46</v>
      </c>
      <c r="B13" s="72">
        <v>0.03</v>
      </c>
      <c r="C13" s="54" t="s">
        <v>47</v>
      </c>
    </row>
    <row r="14" spans="1:3" x14ac:dyDescent="0.25">
      <c r="A14" s="53"/>
      <c r="B14" s="53"/>
      <c r="C14" s="53"/>
    </row>
    <row r="15" spans="1:3" x14ac:dyDescent="0.25">
      <c r="A15" s="53" t="s">
        <v>44</v>
      </c>
      <c r="B15" s="74">
        <f>B11/(1+B13)^B12</f>
        <v>3720.4695744836258</v>
      </c>
      <c r="C15" s="5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4770C-6E55-4B4D-8432-827A2726B430}">
  <dimension ref="A4:D35"/>
  <sheetViews>
    <sheetView workbookViewId="0">
      <selection activeCell="A38" sqref="A38"/>
    </sheetView>
  </sheetViews>
  <sheetFormatPr baseColWidth="10" defaultRowHeight="15" x14ac:dyDescent="0.25"/>
  <cols>
    <col min="1" max="1" width="21.42578125" style="53" bestFit="1" customWidth="1"/>
    <col min="2" max="2" width="17" style="53" bestFit="1" customWidth="1"/>
    <col min="3" max="16384" width="11.42578125" style="53"/>
  </cols>
  <sheetData>
    <row r="4" spans="1:3" x14ac:dyDescent="0.25">
      <c r="A4" s="75" t="s">
        <v>82</v>
      </c>
    </row>
    <row r="5" spans="1:3" x14ac:dyDescent="0.25">
      <c r="A5" s="54" t="s">
        <v>2</v>
      </c>
      <c r="B5" s="55">
        <v>1200</v>
      </c>
      <c r="C5" s="54"/>
    </row>
    <row r="6" spans="1:3" x14ac:dyDescent="0.25">
      <c r="A6" s="54" t="s">
        <v>40</v>
      </c>
      <c r="B6" s="54">
        <v>30</v>
      </c>
      <c r="C6" s="54" t="s">
        <v>41</v>
      </c>
    </row>
    <row r="7" spans="1:3" x14ac:dyDescent="0.25">
      <c r="A7" s="54" t="s">
        <v>43</v>
      </c>
      <c r="B7" s="72">
        <v>0.15</v>
      </c>
      <c r="C7" s="54" t="s">
        <v>47</v>
      </c>
    </row>
    <row r="8" spans="1:3" x14ac:dyDescent="0.25">
      <c r="A8" s="54"/>
      <c r="B8" s="54"/>
      <c r="C8" s="54"/>
    </row>
    <row r="9" spans="1:3" x14ac:dyDescent="0.25">
      <c r="A9" s="54" t="s">
        <v>42</v>
      </c>
      <c r="B9" s="73">
        <f>B5*(1+B7)^B6</f>
        <v>79454.126348142905</v>
      </c>
      <c r="C9" s="54"/>
    </row>
    <row r="10" spans="1:3" x14ac:dyDescent="0.25">
      <c r="A10" s="54"/>
      <c r="B10" s="73"/>
      <c r="C10" s="54"/>
    </row>
    <row r="11" spans="1:3" x14ac:dyDescent="0.25">
      <c r="A11" s="54"/>
      <c r="B11" s="73"/>
      <c r="C11" s="54"/>
    </row>
    <row r="13" spans="1:3" x14ac:dyDescent="0.25">
      <c r="A13" s="75" t="s">
        <v>83</v>
      </c>
    </row>
    <row r="14" spans="1:3" x14ac:dyDescent="0.25">
      <c r="A14" s="54" t="s">
        <v>2</v>
      </c>
      <c r="B14" s="55">
        <v>20000</v>
      </c>
      <c r="C14" s="54"/>
    </row>
    <row r="15" spans="1:3" x14ac:dyDescent="0.25">
      <c r="A15" s="54" t="s">
        <v>45</v>
      </c>
      <c r="B15" s="54">
        <v>5</v>
      </c>
      <c r="C15" s="54" t="s">
        <v>41</v>
      </c>
    </row>
    <row r="16" spans="1:3" x14ac:dyDescent="0.25">
      <c r="A16" s="54" t="s">
        <v>46</v>
      </c>
      <c r="B16" s="72">
        <v>0.03</v>
      </c>
      <c r="C16" s="54" t="s">
        <v>47</v>
      </c>
    </row>
    <row r="18" spans="1:4" x14ac:dyDescent="0.25">
      <c r="A18" s="53" t="s">
        <v>44</v>
      </c>
      <c r="B18" s="74">
        <f>B14/(1+B16)^B15</f>
        <v>17252.175687683281</v>
      </c>
    </row>
    <row r="22" spans="1:4" x14ac:dyDescent="0.25">
      <c r="A22" s="75" t="s">
        <v>50</v>
      </c>
    </row>
    <row r="24" spans="1:4" x14ac:dyDescent="0.25">
      <c r="A24" s="54" t="s">
        <v>2</v>
      </c>
      <c r="B24" s="55">
        <v>7500</v>
      </c>
      <c r="C24" s="54"/>
      <c r="D24" s="54"/>
    </row>
    <row r="25" spans="1:4" x14ac:dyDescent="0.25">
      <c r="A25" s="54" t="s">
        <v>40</v>
      </c>
      <c r="B25" s="54">
        <v>20</v>
      </c>
      <c r="C25" s="54" t="s">
        <v>41</v>
      </c>
      <c r="D25" s="54"/>
    </row>
    <row r="26" spans="1:4" x14ac:dyDescent="0.25">
      <c r="A26" s="54" t="s">
        <v>43</v>
      </c>
      <c r="B26" s="72">
        <v>0.05</v>
      </c>
      <c r="C26" s="54"/>
      <c r="D26" s="54"/>
    </row>
    <row r="28" spans="1:4" x14ac:dyDescent="0.25">
      <c r="A28" s="53" t="s">
        <v>42</v>
      </c>
      <c r="B28" s="74">
        <f>B24*(1+B26)^B25</f>
        <v>19899.732788583158</v>
      </c>
    </row>
    <row r="31" spans="1:4" x14ac:dyDescent="0.25">
      <c r="A31" s="54" t="s">
        <v>2</v>
      </c>
      <c r="B31" s="55">
        <v>20000</v>
      </c>
      <c r="C31" s="54"/>
    </row>
    <row r="32" spans="1:4" x14ac:dyDescent="0.25">
      <c r="A32" s="54" t="s">
        <v>45</v>
      </c>
      <c r="B32" s="54">
        <v>20</v>
      </c>
      <c r="C32" s="54" t="s">
        <v>41</v>
      </c>
    </row>
    <row r="33" spans="1:3" x14ac:dyDescent="0.25">
      <c r="A33" s="54" t="s">
        <v>48</v>
      </c>
      <c r="B33" s="72">
        <v>0.05</v>
      </c>
      <c r="C33" s="54"/>
    </row>
    <row r="34" spans="1:3" x14ac:dyDescent="0.25">
      <c r="A34" s="54"/>
      <c r="B34" s="54"/>
    </row>
    <row r="35" spans="1:3" x14ac:dyDescent="0.25">
      <c r="A35" s="53" t="s">
        <v>44</v>
      </c>
      <c r="B35" s="74">
        <f>B31/(1+B33)^B32</f>
        <v>7537.7896574600118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718B2-10A3-4BCB-9647-185DF8B4BB8D}">
  <dimension ref="B2:H34"/>
  <sheetViews>
    <sheetView workbookViewId="0">
      <selection activeCell="K20" sqref="K20"/>
    </sheetView>
  </sheetViews>
  <sheetFormatPr baseColWidth="10" defaultRowHeight="15" x14ac:dyDescent="0.25"/>
  <cols>
    <col min="2" max="2" width="17.28515625" bestFit="1" customWidth="1"/>
    <col min="3" max="3" width="11.5703125" bestFit="1" customWidth="1"/>
    <col min="4" max="6" width="14.140625" bestFit="1" customWidth="1"/>
    <col min="8" max="8" width="11.5703125" bestFit="1" customWidth="1"/>
  </cols>
  <sheetData>
    <row r="2" spans="2:8" ht="15.75" x14ac:dyDescent="0.25">
      <c r="B2" s="112" t="s">
        <v>130</v>
      </c>
      <c r="C2" s="112"/>
      <c r="D2" s="112"/>
      <c r="E2" s="112"/>
      <c r="F2" s="112"/>
    </row>
    <row r="4" spans="2:8" x14ac:dyDescent="0.25">
      <c r="B4" t="s">
        <v>58</v>
      </c>
      <c r="C4">
        <v>0</v>
      </c>
      <c r="D4">
        <v>1</v>
      </c>
      <c r="E4">
        <v>2</v>
      </c>
      <c r="F4">
        <v>3</v>
      </c>
    </row>
    <row r="5" spans="2:8" x14ac:dyDescent="0.25">
      <c r="B5" t="s">
        <v>57</v>
      </c>
      <c r="D5" s="12">
        <v>2300000</v>
      </c>
      <c r="E5" s="12">
        <v>2800000</v>
      </c>
      <c r="F5" s="12">
        <v>3300000</v>
      </c>
    </row>
    <row r="6" spans="2:8" x14ac:dyDescent="0.25">
      <c r="B6" t="s">
        <v>48</v>
      </c>
      <c r="C6" s="22">
        <v>0.01</v>
      </c>
    </row>
    <row r="7" spans="2:8" x14ac:dyDescent="0.25">
      <c r="B7" t="s">
        <v>61</v>
      </c>
      <c r="C7" s="22"/>
      <c r="D7" s="24"/>
      <c r="E7" s="24"/>
      <c r="F7" s="24"/>
    </row>
    <row r="8" spans="2:8" x14ac:dyDescent="0.25">
      <c r="B8" t="s">
        <v>62</v>
      </c>
      <c r="C8" s="76"/>
      <c r="D8" s="24"/>
      <c r="E8" s="24"/>
      <c r="F8" s="24"/>
    </row>
    <row r="9" spans="2:8" x14ac:dyDescent="0.25">
      <c r="C9" s="22"/>
      <c r="D9" s="24"/>
      <c r="E9" s="24"/>
      <c r="F9" s="24"/>
    </row>
    <row r="12" spans="2:8" x14ac:dyDescent="0.25">
      <c r="C12">
        <v>0</v>
      </c>
      <c r="D12">
        <v>1</v>
      </c>
      <c r="E12">
        <v>2</v>
      </c>
      <c r="F12">
        <v>3</v>
      </c>
      <c r="G12">
        <v>4</v>
      </c>
      <c r="H12">
        <v>5</v>
      </c>
    </row>
    <row r="13" spans="2:8" x14ac:dyDescent="0.25">
      <c r="B13" t="s">
        <v>59</v>
      </c>
      <c r="C13" s="12">
        <v>23500</v>
      </c>
      <c r="D13" s="12"/>
      <c r="E13" s="12"/>
      <c r="F13" s="12"/>
      <c r="G13" s="12"/>
      <c r="H13" s="12"/>
    </row>
    <row r="14" spans="2:8" x14ac:dyDescent="0.25">
      <c r="C14" s="12"/>
      <c r="D14" s="12"/>
      <c r="E14" s="12"/>
      <c r="F14" s="12"/>
      <c r="G14" s="12"/>
      <c r="H14" s="12"/>
    </row>
    <row r="15" spans="2:8" x14ac:dyDescent="0.25">
      <c r="B15" t="s">
        <v>57</v>
      </c>
      <c r="C15" s="12"/>
      <c r="D15" s="12">
        <v>3000</v>
      </c>
      <c r="E15" s="12">
        <v>3000</v>
      </c>
      <c r="F15" s="12">
        <v>4500</v>
      </c>
      <c r="G15" s="12">
        <v>90000</v>
      </c>
      <c r="H15" s="12">
        <v>200</v>
      </c>
    </row>
    <row r="16" spans="2:8" x14ac:dyDescent="0.25">
      <c r="B16" t="s">
        <v>60</v>
      </c>
      <c r="C16" s="25">
        <v>4.4999999999999998E-2</v>
      </c>
    </row>
    <row r="17" spans="2:8" x14ac:dyDescent="0.25">
      <c r="B17" t="s">
        <v>61</v>
      </c>
      <c r="D17" s="24"/>
      <c r="E17" s="24"/>
      <c r="F17" s="24"/>
      <c r="G17" s="24"/>
      <c r="H17" s="24"/>
    </row>
    <row r="18" spans="2:8" x14ac:dyDescent="0.25">
      <c r="D18" s="24"/>
      <c r="E18" s="24"/>
      <c r="F18" s="24"/>
      <c r="G18" s="24"/>
      <c r="H18" s="24"/>
    </row>
    <row r="19" spans="2:8" x14ac:dyDescent="0.25">
      <c r="B19" t="s">
        <v>62</v>
      </c>
      <c r="C19" s="24">
        <f>SUM(D17:H17)</f>
        <v>0</v>
      </c>
    </row>
    <row r="20" spans="2:8" x14ac:dyDescent="0.25">
      <c r="B20" t="s">
        <v>63</v>
      </c>
      <c r="C20" s="29"/>
    </row>
    <row r="25" spans="2:8" x14ac:dyDescent="0.25">
      <c r="C25">
        <v>0</v>
      </c>
      <c r="D25">
        <v>1</v>
      </c>
      <c r="E25">
        <v>2</v>
      </c>
      <c r="F25">
        <v>3</v>
      </c>
      <c r="G25">
        <v>4</v>
      </c>
      <c r="H25">
        <v>5</v>
      </c>
    </row>
    <row r="26" spans="2:8" x14ac:dyDescent="0.25">
      <c r="B26" t="s">
        <v>59</v>
      </c>
      <c r="C26" s="12">
        <v>15000</v>
      </c>
      <c r="D26" s="12"/>
      <c r="E26" s="12"/>
      <c r="F26" s="12"/>
      <c r="G26" s="12"/>
      <c r="H26" s="12"/>
    </row>
    <row r="27" spans="2:8" x14ac:dyDescent="0.25">
      <c r="B27" t="s">
        <v>67</v>
      </c>
      <c r="C27" s="12"/>
      <c r="D27" s="12"/>
      <c r="E27" s="12"/>
      <c r="F27" s="12"/>
      <c r="G27" s="12"/>
      <c r="H27" s="12">
        <v>15000</v>
      </c>
    </row>
    <row r="28" spans="2:8" x14ac:dyDescent="0.25">
      <c r="B28" t="s">
        <v>66</v>
      </c>
      <c r="C28" s="12"/>
      <c r="D28" s="12">
        <f>$K$25*0.015</f>
        <v>0</v>
      </c>
      <c r="E28" s="12">
        <f t="shared" ref="E28:H28" si="0">$K$25*0.015</f>
        <v>0</v>
      </c>
      <c r="F28" s="12">
        <f t="shared" si="0"/>
        <v>0</v>
      </c>
      <c r="G28" s="12">
        <f t="shared" si="0"/>
        <v>0</v>
      </c>
      <c r="H28" s="12">
        <f t="shared" si="0"/>
        <v>0</v>
      </c>
    </row>
    <row r="29" spans="2:8" x14ac:dyDescent="0.25">
      <c r="B29" t="s">
        <v>60</v>
      </c>
      <c r="C29" s="25">
        <v>2.3E-2</v>
      </c>
    </row>
    <row r="30" spans="2:8" x14ac:dyDescent="0.25">
      <c r="B30" t="s">
        <v>61</v>
      </c>
      <c r="D30" s="24"/>
      <c r="E30" s="24"/>
      <c r="F30" s="24"/>
      <c r="G30" s="24"/>
      <c r="H30" s="24"/>
    </row>
    <row r="31" spans="2:8" x14ac:dyDescent="0.25">
      <c r="D31" s="24"/>
      <c r="E31" s="24"/>
      <c r="F31" s="24"/>
      <c r="G31" s="24"/>
      <c r="H31" s="24"/>
    </row>
    <row r="32" spans="2:8" x14ac:dyDescent="0.25">
      <c r="B32" t="s">
        <v>68</v>
      </c>
      <c r="C32" s="24"/>
      <c r="D32" s="24"/>
      <c r="E32" s="24"/>
      <c r="F32" s="24"/>
      <c r="G32" s="24"/>
      <c r="H32" s="24"/>
    </row>
    <row r="33" spans="2:3" x14ac:dyDescent="0.25">
      <c r="B33" t="s">
        <v>69</v>
      </c>
      <c r="C33" s="24"/>
    </row>
    <row r="34" spans="2:3" x14ac:dyDescent="0.25">
      <c r="B34" t="s">
        <v>63</v>
      </c>
      <c r="C34" s="29"/>
    </row>
  </sheetData>
  <mergeCells count="1">
    <mergeCell ref="B2:F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BEC0D-2E26-4031-9803-F4122B563431}">
  <dimension ref="A1:P47"/>
  <sheetViews>
    <sheetView workbookViewId="0">
      <selection activeCell="H38" sqref="H38"/>
    </sheetView>
  </sheetViews>
  <sheetFormatPr baseColWidth="10" defaultRowHeight="15" x14ac:dyDescent="0.25"/>
  <cols>
    <col min="1" max="1" width="18.42578125" bestFit="1" customWidth="1"/>
    <col min="2" max="5" width="14.140625" bestFit="1" customWidth="1"/>
    <col min="10" max="10" width="17.28515625" bestFit="1" customWidth="1"/>
    <col min="11" max="11" width="14.140625" bestFit="1" customWidth="1"/>
    <col min="12" max="12" width="20.85546875" bestFit="1" customWidth="1"/>
    <col min="13" max="14" width="14.140625" bestFit="1" customWidth="1"/>
  </cols>
  <sheetData>
    <row r="1" spans="1:16" ht="15.75" x14ac:dyDescent="0.25">
      <c r="B1" s="112" t="s">
        <v>6</v>
      </c>
      <c r="C1" s="112"/>
      <c r="D1" s="112"/>
      <c r="J1" s="116"/>
      <c r="K1" s="116"/>
      <c r="L1" s="116"/>
      <c r="M1" s="116"/>
      <c r="N1" s="116"/>
    </row>
    <row r="2" spans="1:16" x14ac:dyDescent="0.25">
      <c r="A2" s="21"/>
      <c r="B2" s="112"/>
      <c r="C2" s="112"/>
      <c r="D2" s="112"/>
      <c r="E2" s="21"/>
      <c r="J2" s="53"/>
      <c r="K2" s="53"/>
      <c r="L2" s="53"/>
      <c r="M2" s="53"/>
      <c r="N2" s="53"/>
      <c r="O2" s="53"/>
    </row>
    <row r="3" spans="1:16" ht="15.75" x14ac:dyDescent="0.25">
      <c r="A3" s="21"/>
      <c r="B3" s="69">
        <v>2021</v>
      </c>
      <c r="C3" s="69">
        <v>2022</v>
      </c>
      <c r="D3" s="69">
        <v>2023</v>
      </c>
      <c r="E3" s="21"/>
      <c r="J3" s="53"/>
      <c r="K3" s="53"/>
      <c r="L3" s="53"/>
      <c r="M3" s="53"/>
      <c r="N3" s="53"/>
      <c r="O3" s="53"/>
    </row>
    <row r="4" spans="1:16" x14ac:dyDescent="0.25">
      <c r="A4" s="21" t="s">
        <v>51</v>
      </c>
      <c r="B4" s="27">
        <f>'Balance General en el tiempo R'!E15</f>
        <v>23700</v>
      </c>
      <c r="C4" s="27">
        <f>'Balance General en el tiempo R'!J15</f>
        <v>29151</v>
      </c>
      <c r="D4" s="27">
        <f>'Balance General en el tiempo R'!P15</f>
        <v>38770.83</v>
      </c>
      <c r="E4" s="21"/>
      <c r="L4" s="12"/>
      <c r="M4" s="12"/>
      <c r="N4" s="12"/>
    </row>
    <row r="5" spans="1:16" x14ac:dyDescent="0.25">
      <c r="A5" s="21" t="s">
        <v>54</v>
      </c>
      <c r="B5" s="21"/>
      <c r="C5" s="23">
        <f>(C4/B4)-1</f>
        <v>0.22999999999999998</v>
      </c>
      <c r="D5" s="23">
        <f>(D4/C4)-1</f>
        <v>0.33000000000000007</v>
      </c>
      <c r="E5" s="21"/>
      <c r="K5" s="22"/>
    </row>
    <row r="6" spans="1:16" x14ac:dyDescent="0.25">
      <c r="A6" s="21"/>
      <c r="B6" s="21"/>
      <c r="C6" s="21"/>
      <c r="D6" s="21"/>
      <c r="E6" s="21"/>
      <c r="K6" s="22"/>
      <c r="L6" s="24"/>
      <c r="M6" s="24"/>
      <c r="N6" s="24"/>
    </row>
    <row r="7" spans="1:16" x14ac:dyDescent="0.25">
      <c r="A7" s="21" t="s">
        <v>52</v>
      </c>
      <c r="B7" s="28">
        <v>3.5000000000000003E-2</v>
      </c>
      <c r="C7" s="21"/>
      <c r="D7" s="21"/>
      <c r="E7" s="21"/>
      <c r="K7" s="76"/>
      <c r="L7" s="24"/>
      <c r="M7" s="24"/>
      <c r="N7" s="24"/>
    </row>
    <row r="8" spans="1:16" x14ac:dyDescent="0.25">
      <c r="A8" s="21"/>
      <c r="B8" s="21"/>
      <c r="C8" s="21"/>
      <c r="D8" s="21"/>
      <c r="E8" s="21"/>
      <c r="K8" s="22"/>
      <c r="L8" s="24"/>
      <c r="M8" s="24"/>
      <c r="N8" s="24"/>
    </row>
    <row r="9" spans="1:16" x14ac:dyDescent="0.25">
      <c r="A9" s="21"/>
      <c r="B9" s="21"/>
      <c r="C9" s="21"/>
      <c r="D9" s="21"/>
      <c r="E9" s="21"/>
    </row>
    <row r="10" spans="1:16" x14ac:dyDescent="0.25">
      <c r="A10" s="21" t="s">
        <v>53</v>
      </c>
      <c r="B10" s="27">
        <f>B4</f>
        <v>23700</v>
      </c>
      <c r="C10" s="27">
        <f>C4/(1+B7)^1</f>
        <v>28165.217391304352</v>
      </c>
      <c r="D10" s="27">
        <f>D4/(1+B7)^2</f>
        <v>36192.984667086756</v>
      </c>
      <c r="E10" s="21"/>
    </row>
    <row r="11" spans="1:16" ht="45" x14ac:dyDescent="0.25">
      <c r="A11" s="26" t="s">
        <v>55</v>
      </c>
      <c r="B11" s="21"/>
      <c r="C11" s="28">
        <f>C10/B10-1</f>
        <v>0.18840579710144945</v>
      </c>
      <c r="D11" s="28">
        <f>D10/C10-1</f>
        <v>0.28502415458937214</v>
      </c>
      <c r="E11" s="21"/>
    </row>
    <row r="12" spans="1:16" x14ac:dyDescent="0.25">
      <c r="A12" s="21"/>
      <c r="B12" s="21"/>
      <c r="C12" s="21"/>
      <c r="D12" s="21"/>
      <c r="E12" s="21"/>
      <c r="K12" s="12"/>
      <c r="L12" s="12"/>
      <c r="M12" s="12"/>
      <c r="N12" s="12"/>
      <c r="O12" s="12"/>
      <c r="P12" s="12"/>
    </row>
    <row r="13" spans="1:16" x14ac:dyDescent="0.25">
      <c r="K13" s="12"/>
      <c r="L13" s="12"/>
      <c r="M13" s="12"/>
      <c r="N13" s="12"/>
      <c r="O13" s="12"/>
      <c r="P13" s="12"/>
    </row>
    <row r="14" spans="1:16" x14ac:dyDescent="0.25">
      <c r="K14" s="12"/>
      <c r="L14" s="12"/>
      <c r="M14" s="12"/>
      <c r="N14" s="12"/>
      <c r="O14" s="12"/>
      <c r="P14" s="12"/>
    </row>
    <row r="15" spans="1:16" x14ac:dyDescent="0.25">
      <c r="K15" s="25"/>
    </row>
    <row r="16" spans="1:16" x14ac:dyDescent="0.25">
      <c r="C16" t="s">
        <v>56</v>
      </c>
      <c r="D16" t="s">
        <v>70</v>
      </c>
      <c r="L16" s="24"/>
      <c r="M16" s="24"/>
      <c r="N16" s="24"/>
      <c r="O16" s="24"/>
      <c r="P16" s="24"/>
    </row>
    <row r="17" spans="1:16" x14ac:dyDescent="0.25">
      <c r="A17" t="s">
        <v>58</v>
      </c>
      <c r="B17">
        <v>0</v>
      </c>
      <c r="C17">
        <v>1</v>
      </c>
      <c r="D17">
        <v>2</v>
      </c>
      <c r="E17">
        <v>3</v>
      </c>
      <c r="L17" s="24"/>
      <c r="M17" s="24"/>
      <c r="N17" s="24"/>
      <c r="O17" s="24"/>
      <c r="P17" s="24"/>
    </row>
    <row r="18" spans="1:16" x14ac:dyDescent="0.25">
      <c r="A18" t="s">
        <v>57</v>
      </c>
      <c r="C18" s="12">
        <v>2300000</v>
      </c>
      <c r="D18" s="12">
        <v>2800000</v>
      </c>
      <c r="E18" s="12">
        <v>3300000</v>
      </c>
      <c r="K18" s="24"/>
    </row>
    <row r="19" spans="1:16" x14ac:dyDescent="0.25">
      <c r="A19" t="s">
        <v>48</v>
      </c>
      <c r="B19" s="22">
        <v>0.03</v>
      </c>
      <c r="K19" s="29"/>
    </row>
    <row r="20" spans="1:16" x14ac:dyDescent="0.25">
      <c r="A20" t="s">
        <v>61</v>
      </c>
      <c r="B20" s="22"/>
      <c r="C20" s="24">
        <f>C18/(1+$B$19)^C17</f>
        <v>2233009.7087378642</v>
      </c>
      <c r="D20" s="24">
        <f>D18/(1+$B$19)^D17</f>
        <v>2639268.5455745123</v>
      </c>
      <c r="E20" s="24">
        <f>E18/(1+$B$19)^E17</f>
        <v>3019967.4758654265</v>
      </c>
    </row>
    <row r="21" spans="1:16" x14ac:dyDescent="0.25">
      <c r="A21" t="s">
        <v>62</v>
      </c>
      <c r="B21" s="76">
        <f>SUM(C20:E20)</f>
        <v>7892245.730177803</v>
      </c>
      <c r="C21" s="24"/>
      <c r="D21" s="24"/>
      <c r="E21" s="24"/>
    </row>
    <row r="22" spans="1:16" x14ac:dyDescent="0.25">
      <c r="B22" s="22"/>
      <c r="C22" s="24"/>
      <c r="D22" s="24"/>
      <c r="E22" s="24"/>
    </row>
    <row r="24" spans="1:16" x14ac:dyDescent="0.25">
      <c r="B24" t="s">
        <v>64</v>
      </c>
      <c r="C24" t="s">
        <v>71</v>
      </c>
    </row>
    <row r="25" spans="1:16" x14ac:dyDescent="0.25">
      <c r="B25">
        <v>0</v>
      </c>
      <c r="C25">
        <v>1</v>
      </c>
      <c r="D25">
        <v>2</v>
      </c>
      <c r="E25">
        <v>3</v>
      </c>
      <c r="F25">
        <v>4</v>
      </c>
      <c r="G25">
        <v>5</v>
      </c>
      <c r="K25" s="12"/>
      <c r="L25" s="12"/>
      <c r="M25" s="12"/>
      <c r="N25" s="12"/>
      <c r="O25" s="12"/>
      <c r="P25" s="12"/>
    </row>
    <row r="26" spans="1:16" x14ac:dyDescent="0.25">
      <c r="A26" t="s">
        <v>59</v>
      </c>
      <c r="B26" s="12">
        <v>20000</v>
      </c>
      <c r="C26" s="12"/>
      <c r="D26" s="12"/>
      <c r="E26" s="12"/>
      <c r="F26" s="12"/>
      <c r="G26" s="12"/>
      <c r="K26" s="12"/>
      <c r="L26" s="12"/>
      <c r="M26" s="12"/>
      <c r="N26" s="12"/>
      <c r="O26" s="12"/>
      <c r="P26" s="12"/>
    </row>
    <row r="27" spans="1:16" x14ac:dyDescent="0.25">
      <c r="B27" s="12"/>
      <c r="C27" s="12"/>
      <c r="D27" s="12"/>
      <c r="E27" s="12"/>
      <c r="F27" s="12"/>
      <c r="G27" s="12"/>
      <c r="K27" s="12"/>
      <c r="L27" s="12"/>
      <c r="M27" s="12"/>
      <c r="N27" s="12"/>
      <c r="O27" s="12"/>
      <c r="P27" s="12"/>
    </row>
    <row r="28" spans="1:16" x14ac:dyDescent="0.25">
      <c r="A28" t="s">
        <v>57</v>
      </c>
      <c r="B28" s="12"/>
      <c r="C28" s="12">
        <v>5000</v>
      </c>
      <c r="D28" s="12">
        <v>3000</v>
      </c>
      <c r="E28" s="12">
        <v>7000</v>
      </c>
      <c r="F28" s="12">
        <v>5000</v>
      </c>
      <c r="G28" s="12">
        <v>1000</v>
      </c>
      <c r="K28" s="25"/>
    </row>
    <row r="29" spans="1:16" x14ac:dyDescent="0.25">
      <c r="A29" t="s">
        <v>60</v>
      </c>
      <c r="B29" s="25">
        <v>0.03</v>
      </c>
      <c r="L29" s="24"/>
      <c r="M29" s="24"/>
      <c r="N29" s="24"/>
      <c r="O29" s="24"/>
      <c r="P29" s="24"/>
    </row>
    <row r="30" spans="1:16" x14ac:dyDescent="0.25">
      <c r="A30" t="s">
        <v>61</v>
      </c>
      <c r="C30" s="24">
        <f>C28/(1+$B$29)^C25</f>
        <v>4854.3689320388348</v>
      </c>
      <c r="D30" s="24">
        <f t="shared" ref="D30:G30" si="0">D28/(1+$B$29)^D25</f>
        <v>2827.7877274012631</v>
      </c>
      <c r="E30" s="24">
        <f t="shared" si="0"/>
        <v>6405.9916154721168</v>
      </c>
      <c r="F30" s="24">
        <f t="shared" si="0"/>
        <v>4442.4352395784445</v>
      </c>
      <c r="G30" s="24">
        <f t="shared" si="0"/>
        <v>862.6087843841641</v>
      </c>
      <c r="L30" s="24"/>
      <c r="M30" s="24"/>
      <c r="N30" s="24"/>
      <c r="O30" s="24"/>
      <c r="P30" s="24"/>
    </row>
    <row r="31" spans="1:16" x14ac:dyDescent="0.25">
      <c r="C31" s="24"/>
      <c r="D31" s="24"/>
      <c r="E31" s="24"/>
      <c r="F31" s="24"/>
      <c r="G31" s="24"/>
      <c r="K31" s="24"/>
      <c r="L31" s="24"/>
      <c r="M31" s="24"/>
      <c r="N31" s="24"/>
      <c r="O31" s="24"/>
      <c r="P31" s="24"/>
    </row>
    <row r="32" spans="1:16" x14ac:dyDescent="0.25">
      <c r="A32" t="s">
        <v>62</v>
      </c>
      <c r="B32" s="24">
        <f>SUM(C30:G30)</f>
        <v>19393.192298874823</v>
      </c>
      <c r="K32" s="24"/>
    </row>
    <row r="33" spans="1:11" x14ac:dyDescent="0.25">
      <c r="A33" t="s">
        <v>63</v>
      </c>
      <c r="B33" s="29">
        <f>B32-B26</f>
        <v>-606.80770112517712</v>
      </c>
      <c r="K33" s="29"/>
    </row>
    <row r="36" spans="1:11" x14ac:dyDescent="0.25">
      <c r="B36" t="s">
        <v>65</v>
      </c>
      <c r="C36" t="s">
        <v>72</v>
      </c>
    </row>
    <row r="38" spans="1:11" x14ac:dyDescent="0.25">
      <c r="B38">
        <v>0</v>
      </c>
      <c r="C38">
        <v>1</v>
      </c>
      <c r="D38">
        <v>2</v>
      </c>
      <c r="E38">
        <v>3</v>
      </c>
      <c r="F38">
        <v>4</v>
      </c>
      <c r="G38">
        <v>5</v>
      </c>
    </row>
    <row r="39" spans="1:11" x14ac:dyDescent="0.25">
      <c r="A39" t="s">
        <v>59</v>
      </c>
      <c r="B39" s="12">
        <v>20000</v>
      </c>
      <c r="C39" s="12"/>
      <c r="D39" s="12"/>
      <c r="E39" s="12"/>
      <c r="F39" s="12"/>
      <c r="G39" s="12"/>
    </row>
    <row r="40" spans="1:11" x14ac:dyDescent="0.25">
      <c r="A40" t="s">
        <v>67</v>
      </c>
      <c r="B40" s="12"/>
      <c r="C40" s="12"/>
      <c r="D40" s="12"/>
      <c r="E40" s="12"/>
      <c r="F40" s="12"/>
      <c r="G40" s="12">
        <v>20000</v>
      </c>
    </row>
    <row r="41" spans="1:11" x14ac:dyDescent="0.25">
      <c r="A41" t="s">
        <v>66</v>
      </c>
      <c r="B41" s="12"/>
      <c r="C41" s="12">
        <f>$B$39*0.01</f>
        <v>200</v>
      </c>
      <c r="D41" s="12">
        <f t="shared" ref="D41:G41" si="1">$B$39*0.01</f>
        <v>200</v>
      </c>
      <c r="E41" s="12">
        <f t="shared" si="1"/>
        <v>200</v>
      </c>
      <c r="F41" s="12">
        <f t="shared" si="1"/>
        <v>200</v>
      </c>
      <c r="G41" s="12">
        <f t="shared" si="1"/>
        <v>200</v>
      </c>
    </row>
    <row r="42" spans="1:11" x14ac:dyDescent="0.25">
      <c r="A42" t="s">
        <v>60</v>
      </c>
      <c r="B42" s="25">
        <v>0.03</v>
      </c>
    </row>
    <row r="43" spans="1:11" x14ac:dyDescent="0.25">
      <c r="A43" t="s">
        <v>61</v>
      </c>
      <c r="C43" s="24">
        <f>C41/(1+$B$29)^C38</f>
        <v>194.17475728155338</v>
      </c>
      <c r="D43" s="24">
        <f t="shared" ref="D43:G43" si="2">D41/(1+$B$29)^D38</f>
        <v>188.51918182675087</v>
      </c>
      <c r="E43" s="24">
        <f t="shared" si="2"/>
        <v>183.02833187063192</v>
      </c>
      <c r="F43" s="24">
        <f t="shared" si="2"/>
        <v>177.69740958313778</v>
      </c>
      <c r="G43" s="24">
        <f t="shared" si="2"/>
        <v>172.52175687683282</v>
      </c>
    </row>
    <row r="44" spans="1:11" x14ac:dyDescent="0.25">
      <c r="C44" s="24"/>
      <c r="D44" s="24"/>
      <c r="E44" s="24"/>
      <c r="F44" s="24"/>
      <c r="G44" s="24"/>
    </row>
    <row r="45" spans="1:11" x14ac:dyDescent="0.25">
      <c r="A45" t="s">
        <v>68</v>
      </c>
      <c r="B45" s="24">
        <f>SUM(C43:G43)</f>
        <v>915.94143743890675</v>
      </c>
      <c r="C45" s="24"/>
      <c r="D45" s="24"/>
      <c r="E45" s="24"/>
      <c r="F45" s="24"/>
      <c r="G45" s="24"/>
    </row>
    <row r="46" spans="1:11" x14ac:dyDescent="0.25">
      <c r="A46" t="s">
        <v>69</v>
      </c>
      <c r="B46" s="24">
        <f>G40/(1+B42)^5</f>
        <v>17252.175687683281</v>
      </c>
    </row>
    <row r="47" spans="1:11" x14ac:dyDescent="0.25">
      <c r="A47" t="s">
        <v>63</v>
      </c>
      <c r="B47" s="29">
        <f>B45+B46-B39</f>
        <v>-1831.8828748778142</v>
      </c>
    </row>
  </sheetData>
  <mergeCells count="1">
    <mergeCell ref="B1:D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73797-EA22-4F3A-A072-4D17FC0B197D}">
  <dimension ref="A2:D18"/>
  <sheetViews>
    <sheetView workbookViewId="0">
      <selection activeCell="I13" sqref="I13"/>
    </sheetView>
  </sheetViews>
  <sheetFormatPr baseColWidth="10" defaultRowHeight="15" x14ac:dyDescent="0.25"/>
  <cols>
    <col min="1" max="1" width="18.85546875" style="30" bestFit="1" customWidth="1"/>
    <col min="2" max="16384" width="11.42578125" style="30"/>
  </cols>
  <sheetData>
    <row r="2" spans="1:4" ht="15.75" x14ac:dyDescent="0.25">
      <c r="B2" s="81">
        <v>2021</v>
      </c>
      <c r="C2" s="81">
        <v>2022</v>
      </c>
      <c r="D2" s="81">
        <v>2023</v>
      </c>
    </row>
    <row r="3" spans="1:4" x14ac:dyDescent="0.25">
      <c r="A3" s="30" t="s">
        <v>84</v>
      </c>
      <c r="B3" s="49">
        <v>35000</v>
      </c>
      <c r="C3" s="49">
        <v>46000</v>
      </c>
      <c r="D3" s="49">
        <v>61180</v>
      </c>
    </row>
    <row r="4" spans="1:4" x14ac:dyDescent="0.25">
      <c r="A4" s="30" t="s">
        <v>85</v>
      </c>
      <c r="B4" s="49">
        <v>17000</v>
      </c>
      <c r="C4" s="49">
        <v>22600</v>
      </c>
      <c r="D4" s="49">
        <v>30058</v>
      </c>
    </row>
    <row r="5" spans="1:4" x14ac:dyDescent="0.25">
      <c r="A5" s="30" t="s">
        <v>91</v>
      </c>
      <c r="B5" s="49">
        <f>B3-B4</f>
        <v>18000</v>
      </c>
      <c r="C5" s="49">
        <f>C3-C4</f>
        <v>23400</v>
      </c>
      <c r="D5" s="49">
        <f>D3-D4</f>
        <v>31122</v>
      </c>
    </row>
    <row r="6" spans="1:4" x14ac:dyDescent="0.25">
      <c r="B6" s="49"/>
      <c r="C6" s="49"/>
      <c r="D6" s="49"/>
    </row>
    <row r="7" spans="1:4" x14ac:dyDescent="0.25">
      <c r="A7" s="30" t="s">
        <v>94</v>
      </c>
      <c r="B7" s="49">
        <v>8000</v>
      </c>
      <c r="C7" s="49">
        <v>10900</v>
      </c>
      <c r="D7" s="49">
        <v>14497</v>
      </c>
    </row>
    <row r="8" spans="1:4" x14ac:dyDescent="0.25">
      <c r="A8" s="30" t="s">
        <v>86</v>
      </c>
      <c r="B8" s="49">
        <v>3000</v>
      </c>
      <c r="C8" s="49">
        <v>4400</v>
      </c>
      <c r="D8" s="49">
        <v>5852</v>
      </c>
    </row>
    <row r="9" spans="1:4" x14ac:dyDescent="0.25">
      <c r="A9" s="30" t="s">
        <v>92</v>
      </c>
      <c r="B9" s="49">
        <f>B5-B7-B8</f>
        <v>7000</v>
      </c>
      <c r="C9" s="49">
        <f>C5-C7-C8</f>
        <v>8100</v>
      </c>
      <c r="D9" s="49">
        <f>D5-D7-D8</f>
        <v>10773</v>
      </c>
    </row>
    <row r="10" spans="1:4" x14ac:dyDescent="0.25">
      <c r="B10" s="49"/>
      <c r="C10" s="49"/>
      <c r="D10" s="49"/>
    </row>
    <row r="11" spans="1:4" x14ac:dyDescent="0.25">
      <c r="A11" s="30" t="s">
        <v>87</v>
      </c>
      <c r="B11" s="49">
        <v>1500</v>
      </c>
      <c r="C11" s="49">
        <v>2450</v>
      </c>
      <c r="D11" s="49">
        <v>3258.5</v>
      </c>
    </row>
    <row r="12" spans="1:4" x14ac:dyDescent="0.25">
      <c r="A12" s="30" t="s">
        <v>88</v>
      </c>
      <c r="B12" s="49">
        <v>0</v>
      </c>
      <c r="C12" s="49">
        <v>500</v>
      </c>
      <c r="D12" s="49">
        <v>665</v>
      </c>
    </row>
    <row r="13" spans="1:4" x14ac:dyDescent="0.25">
      <c r="A13" s="30" t="s">
        <v>93</v>
      </c>
      <c r="B13" s="49">
        <f>B9+B11-B12</f>
        <v>8500</v>
      </c>
      <c r="C13" s="49">
        <f>C9+C11-C12</f>
        <v>10050</v>
      </c>
      <c r="D13" s="49">
        <f>D9+D11-D12</f>
        <v>13366.5</v>
      </c>
    </row>
    <row r="14" spans="1:4" x14ac:dyDescent="0.25">
      <c r="B14" s="49"/>
      <c r="C14" s="49"/>
      <c r="D14" s="49"/>
    </row>
    <row r="15" spans="1:4" x14ac:dyDescent="0.25">
      <c r="A15" s="30" t="s">
        <v>89</v>
      </c>
      <c r="B15" s="49">
        <f>B13*0.3</f>
        <v>2550</v>
      </c>
      <c r="C15" s="49">
        <f>C13*0.3</f>
        <v>3015</v>
      </c>
      <c r="D15" s="49">
        <f>D13*0.3</f>
        <v>4009.95</v>
      </c>
    </row>
    <row r="16" spans="1:4" x14ac:dyDescent="0.25">
      <c r="B16" s="49"/>
      <c r="C16" s="49"/>
      <c r="D16" s="49"/>
    </row>
    <row r="17" spans="1:4" x14ac:dyDescent="0.25">
      <c r="A17" s="30" t="s">
        <v>90</v>
      </c>
      <c r="B17" s="49">
        <f>B13-B15</f>
        <v>5950</v>
      </c>
      <c r="C17" s="49">
        <f>C13-C15</f>
        <v>7035</v>
      </c>
      <c r="D17" s="49">
        <f>D13-D15</f>
        <v>9356.5499999999993</v>
      </c>
    </row>
    <row r="18" spans="1:4" x14ac:dyDescent="0.25">
      <c r="C18" s="49"/>
      <c r="D18" s="4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9F205-30F4-40C3-9648-E73DDBC208DE}">
  <dimension ref="A2:I45"/>
  <sheetViews>
    <sheetView topLeftCell="A16" zoomScaleNormal="100" workbookViewId="0">
      <selection activeCell="A6" sqref="A6:A21"/>
    </sheetView>
  </sheetViews>
  <sheetFormatPr baseColWidth="10" defaultRowHeight="15" x14ac:dyDescent="0.25"/>
  <cols>
    <col min="1" max="1" width="19" bestFit="1" customWidth="1"/>
    <col min="2" max="4" width="12.28515625" bestFit="1" customWidth="1"/>
  </cols>
  <sheetData>
    <row r="2" spans="1:9" ht="15.75" x14ac:dyDescent="0.3">
      <c r="B2" s="108" t="s">
        <v>6</v>
      </c>
      <c r="C2" s="108"/>
      <c r="D2" s="108"/>
    </row>
    <row r="3" spans="1:9" ht="15.75" x14ac:dyDescent="0.3">
      <c r="B3" s="108" t="s">
        <v>98</v>
      </c>
      <c r="C3" s="108"/>
      <c r="D3" s="108"/>
    </row>
    <row r="4" spans="1:9" ht="15.75" x14ac:dyDescent="0.3">
      <c r="B4" s="85"/>
      <c r="C4" s="85"/>
      <c r="D4" s="85"/>
      <c r="G4" t="s">
        <v>127</v>
      </c>
      <c r="H4" s="22">
        <v>0.3</v>
      </c>
    </row>
    <row r="5" spans="1:9" ht="15.75" x14ac:dyDescent="0.25">
      <c r="B5" s="71">
        <v>2021</v>
      </c>
      <c r="C5" s="71">
        <v>2022</v>
      </c>
      <c r="D5" s="71">
        <v>2023</v>
      </c>
    </row>
    <row r="6" spans="1:9" x14ac:dyDescent="0.25">
      <c r="A6" t="s">
        <v>84</v>
      </c>
      <c r="B6" s="12">
        <v>35000</v>
      </c>
      <c r="C6" s="12">
        <v>46000</v>
      </c>
      <c r="D6" s="24">
        <v>61180</v>
      </c>
      <c r="G6" t="s">
        <v>96</v>
      </c>
      <c r="H6" s="117">
        <v>2021</v>
      </c>
      <c r="I6" s="24">
        <f>B12*0.3</f>
        <v>90</v>
      </c>
    </row>
    <row r="7" spans="1:9" x14ac:dyDescent="0.25">
      <c r="A7" t="s">
        <v>85</v>
      </c>
      <c r="B7" s="12">
        <v>17000</v>
      </c>
      <c r="C7" s="12">
        <v>22600</v>
      </c>
      <c r="D7" s="24">
        <v>30058</v>
      </c>
      <c r="H7">
        <v>2022</v>
      </c>
    </row>
    <row r="8" spans="1:9" x14ac:dyDescent="0.25">
      <c r="A8" t="s">
        <v>91</v>
      </c>
      <c r="B8" s="12">
        <f>B6-B7</f>
        <v>18000</v>
      </c>
      <c r="C8" s="12">
        <f>C6-C7</f>
        <v>23400</v>
      </c>
      <c r="D8" s="12">
        <f>D6-D7</f>
        <v>31122</v>
      </c>
      <c r="H8">
        <v>2023</v>
      </c>
    </row>
    <row r="9" spans="1:9" x14ac:dyDescent="0.25">
      <c r="B9" s="12"/>
      <c r="C9" s="12"/>
      <c r="D9" s="24"/>
    </row>
    <row r="10" spans="1:9" x14ac:dyDescent="0.25">
      <c r="A10" t="s">
        <v>94</v>
      </c>
      <c r="B10" s="12">
        <v>8000</v>
      </c>
      <c r="C10" s="12">
        <v>10900</v>
      </c>
      <c r="D10" s="24">
        <v>14497</v>
      </c>
    </row>
    <row r="11" spans="1:9" x14ac:dyDescent="0.25">
      <c r="A11" t="s">
        <v>86</v>
      </c>
      <c r="B11" s="12">
        <v>2700</v>
      </c>
      <c r="C11" s="12">
        <v>3960</v>
      </c>
      <c r="D11" s="24">
        <v>5266.8</v>
      </c>
    </row>
    <row r="12" spans="1:9" x14ac:dyDescent="0.25">
      <c r="A12" s="82" t="s">
        <v>95</v>
      </c>
      <c r="B12" s="83">
        <v>300</v>
      </c>
      <c r="C12" s="83">
        <v>440</v>
      </c>
      <c r="D12" s="84">
        <v>585.20000000000005</v>
      </c>
    </row>
    <row r="13" spans="1:9" x14ac:dyDescent="0.25">
      <c r="A13" t="s">
        <v>92</v>
      </c>
      <c r="B13" s="12">
        <f>B8-B10-B11-B12</f>
        <v>7000</v>
      </c>
      <c r="C13" s="12">
        <f>C8-C10-C11-C12</f>
        <v>8100</v>
      </c>
      <c r="D13" s="12">
        <f>D8-D10-D11-D12</f>
        <v>10773</v>
      </c>
    </row>
    <row r="14" spans="1:9" x14ac:dyDescent="0.25">
      <c r="B14" s="12"/>
      <c r="C14" s="12"/>
      <c r="D14" s="24"/>
    </row>
    <row r="15" spans="1:9" x14ac:dyDescent="0.25">
      <c r="A15" t="s">
        <v>87</v>
      </c>
      <c r="B15" s="12">
        <v>1500</v>
      </c>
      <c r="C15" s="12">
        <v>2450</v>
      </c>
      <c r="D15" s="24">
        <v>3258.5</v>
      </c>
    </row>
    <row r="16" spans="1:9" x14ac:dyDescent="0.25">
      <c r="A16" t="s">
        <v>88</v>
      </c>
      <c r="B16" s="12">
        <v>0</v>
      </c>
      <c r="C16" s="12">
        <v>500</v>
      </c>
      <c r="D16" s="24">
        <v>665</v>
      </c>
    </row>
    <row r="17" spans="1:4" x14ac:dyDescent="0.25">
      <c r="A17" t="s">
        <v>93</v>
      </c>
      <c r="B17" s="12">
        <f>B13+B15-B16</f>
        <v>8500</v>
      </c>
      <c r="C17" s="12">
        <f>C13+C15-C16</f>
        <v>10050</v>
      </c>
      <c r="D17" s="12">
        <f>D13+D15-D16</f>
        <v>13366.5</v>
      </c>
    </row>
    <row r="18" spans="1:4" x14ac:dyDescent="0.25">
      <c r="B18" s="12"/>
      <c r="C18" s="12"/>
      <c r="D18" s="24"/>
    </row>
    <row r="19" spans="1:4" x14ac:dyDescent="0.25">
      <c r="A19" t="s">
        <v>89</v>
      </c>
      <c r="B19" s="83">
        <f>B17*0.3</f>
        <v>2550</v>
      </c>
      <c r="C19" s="12">
        <f>C17*0.3</f>
        <v>3015</v>
      </c>
      <c r="D19" s="12">
        <f>D17*0.3</f>
        <v>4009.95</v>
      </c>
    </row>
    <row r="20" spans="1:4" x14ac:dyDescent="0.25">
      <c r="B20" s="12"/>
      <c r="C20" s="12"/>
      <c r="D20" s="24"/>
    </row>
    <row r="21" spans="1:4" x14ac:dyDescent="0.25">
      <c r="A21" t="s">
        <v>90</v>
      </c>
      <c r="B21" s="12">
        <f>B17-B19</f>
        <v>5950</v>
      </c>
      <c r="C21" s="12">
        <f>C17-C19</f>
        <v>7035</v>
      </c>
      <c r="D21" s="12">
        <f>D17-D19</f>
        <v>9356.5499999999993</v>
      </c>
    </row>
    <row r="27" spans="1:4" x14ac:dyDescent="0.25">
      <c r="B27">
        <v>2021</v>
      </c>
    </row>
    <row r="28" spans="1:4" x14ac:dyDescent="0.25">
      <c r="A28" t="s">
        <v>84</v>
      </c>
      <c r="B28" s="12">
        <v>35000</v>
      </c>
    </row>
    <row r="29" spans="1:4" x14ac:dyDescent="0.25">
      <c r="A29" t="s">
        <v>85</v>
      </c>
      <c r="B29" s="12">
        <v>17000</v>
      </c>
    </row>
    <row r="30" spans="1:4" x14ac:dyDescent="0.25">
      <c r="A30" t="s">
        <v>91</v>
      </c>
      <c r="B30" s="12">
        <f>B28-B29</f>
        <v>18000</v>
      </c>
    </row>
    <row r="31" spans="1:4" x14ac:dyDescent="0.25">
      <c r="B31" s="12"/>
    </row>
    <row r="32" spans="1:4" x14ac:dyDescent="0.25">
      <c r="A32" t="s">
        <v>94</v>
      </c>
      <c r="B32" s="12">
        <v>8000</v>
      </c>
    </row>
    <row r="33" spans="1:2" x14ac:dyDescent="0.25">
      <c r="A33" t="s">
        <v>86</v>
      </c>
      <c r="B33" s="12">
        <v>2700</v>
      </c>
    </row>
    <row r="34" spans="1:2" x14ac:dyDescent="0.25">
      <c r="A34" s="82" t="s">
        <v>95</v>
      </c>
      <c r="B34" s="83">
        <v>0</v>
      </c>
    </row>
    <row r="35" spans="1:2" x14ac:dyDescent="0.25">
      <c r="A35" t="s">
        <v>92</v>
      </c>
      <c r="B35" s="12">
        <f>B30-B32-B33-B34</f>
        <v>7300</v>
      </c>
    </row>
    <row r="36" spans="1:2" x14ac:dyDescent="0.25">
      <c r="B36" s="12"/>
    </row>
    <row r="37" spans="1:2" x14ac:dyDescent="0.25">
      <c r="A37" t="s">
        <v>87</v>
      </c>
      <c r="B37" s="12">
        <v>1500</v>
      </c>
    </row>
    <row r="38" spans="1:2" x14ac:dyDescent="0.25">
      <c r="A38" t="s">
        <v>88</v>
      </c>
      <c r="B38" s="12">
        <v>0</v>
      </c>
    </row>
    <row r="39" spans="1:2" x14ac:dyDescent="0.25">
      <c r="A39" t="s">
        <v>93</v>
      </c>
      <c r="B39" s="12">
        <f>B35+B37-B38</f>
        <v>8800</v>
      </c>
    </row>
    <row r="40" spans="1:2" x14ac:dyDescent="0.25">
      <c r="B40" s="12"/>
    </row>
    <row r="41" spans="1:2" x14ac:dyDescent="0.25">
      <c r="A41" t="s">
        <v>89</v>
      </c>
      <c r="B41" s="83">
        <f>B39*0.3</f>
        <v>2640</v>
      </c>
    </row>
    <row r="42" spans="1:2" x14ac:dyDescent="0.25">
      <c r="B42" s="12"/>
    </row>
    <row r="43" spans="1:2" x14ac:dyDescent="0.25">
      <c r="A43" t="s">
        <v>90</v>
      </c>
      <c r="B43" s="12">
        <f>B39-B41</f>
        <v>6160</v>
      </c>
    </row>
    <row r="45" spans="1:2" ht="30" x14ac:dyDescent="0.25">
      <c r="A45" s="26" t="s">
        <v>97</v>
      </c>
      <c r="B45" s="24">
        <f>B41-B19</f>
        <v>90</v>
      </c>
    </row>
  </sheetData>
  <mergeCells count="2">
    <mergeCell ref="B2:D2"/>
    <mergeCell ref="B3:D3"/>
  </mergeCells>
  <pageMargins left="0.7" right="0.7" top="0.75" bottom="0.75" header="0.3" footer="0.3"/>
  <pageSetup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1F1C2-234B-4F24-ACE2-4D2081FDCA89}">
  <dimension ref="A1:B14"/>
  <sheetViews>
    <sheetView zoomScaleNormal="100" workbookViewId="0">
      <selection activeCell="E4" sqref="E4"/>
    </sheetView>
  </sheetViews>
  <sheetFormatPr baseColWidth="10" defaultRowHeight="15" x14ac:dyDescent="0.25"/>
  <cols>
    <col min="1" max="1" width="15.85546875" bestFit="1" customWidth="1"/>
  </cols>
  <sheetData>
    <row r="1" spans="1:2" x14ac:dyDescent="0.25">
      <c r="A1" t="s">
        <v>103</v>
      </c>
    </row>
    <row r="3" spans="1:2" x14ac:dyDescent="0.25">
      <c r="A3" t="s">
        <v>99</v>
      </c>
      <c r="B3" s="22">
        <v>0.03</v>
      </c>
    </row>
    <row r="4" spans="1:2" x14ac:dyDescent="0.25">
      <c r="A4" t="s">
        <v>100</v>
      </c>
      <c r="B4" s="22">
        <v>0.13</v>
      </c>
    </row>
    <row r="5" spans="1:2" x14ac:dyDescent="0.25">
      <c r="A5" t="s">
        <v>101</v>
      </c>
      <c r="B5">
        <v>1.2</v>
      </c>
    </row>
    <row r="7" spans="1:2" x14ac:dyDescent="0.25">
      <c r="A7" t="s">
        <v>102</v>
      </c>
      <c r="B7" s="25">
        <f>B3+(B5*(B4-B3))</f>
        <v>0.15</v>
      </c>
    </row>
    <row r="10" spans="1:2" x14ac:dyDescent="0.25">
      <c r="A10" t="s">
        <v>99</v>
      </c>
      <c r="B10" s="22">
        <v>0.03</v>
      </c>
    </row>
    <row r="11" spans="1:2" x14ac:dyDescent="0.25">
      <c r="A11" t="s">
        <v>104</v>
      </c>
      <c r="B11" s="22">
        <v>0.09</v>
      </c>
    </row>
    <row r="12" spans="1:2" x14ac:dyDescent="0.25">
      <c r="A12" t="s">
        <v>101</v>
      </c>
      <c r="B12">
        <v>0.9</v>
      </c>
    </row>
    <row r="14" spans="1:2" x14ac:dyDescent="0.25">
      <c r="A14" t="s">
        <v>102</v>
      </c>
      <c r="B14" s="25">
        <f>B10+(B12*(B11))</f>
        <v>0.111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5FF38-13EA-4BCD-AF8D-49DA1189D957}">
  <dimension ref="A1:B34"/>
  <sheetViews>
    <sheetView zoomScaleNormal="100" workbookViewId="0">
      <selection activeCell="D25" sqref="D25"/>
    </sheetView>
  </sheetViews>
  <sheetFormatPr baseColWidth="10" defaultRowHeight="15" x14ac:dyDescent="0.25"/>
  <cols>
    <col min="1" max="1" width="21.5703125" bestFit="1" customWidth="1"/>
  </cols>
  <sheetData>
    <row r="1" spans="1:2" x14ac:dyDescent="0.25">
      <c r="A1" t="s">
        <v>105</v>
      </c>
    </row>
    <row r="3" spans="1:2" x14ac:dyDescent="0.25">
      <c r="A3" t="s">
        <v>34</v>
      </c>
      <c r="B3" s="22">
        <v>0.33</v>
      </c>
    </row>
    <row r="4" spans="1:2" x14ac:dyDescent="0.25">
      <c r="A4" t="s">
        <v>106</v>
      </c>
      <c r="B4" s="22">
        <v>0.67</v>
      </c>
    </row>
    <row r="5" spans="1:2" x14ac:dyDescent="0.25">
      <c r="B5" s="86">
        <f>SUM(B3:B4)</f>
        <v>1</v>
      </c>
    </row>
    <row r="6" spans="1:2" x14ac:dyDescent="0.25">
      <c r="B6" s="86"/>
    </row>
    <row r="7" spans="1:2" x14ac:dyDescent="0.25">
      <c r="A7" t="s">
        <v>107</v>
      </c>
      <c r="B7" s="25">
        <v>0.15</v>
      </c>
    </row>
    <row r="8" spans="1:2" x14ac:dyDescent="0.25">
      <c r="A8" t="s">
        <v>113</v>
      </c>
      <c r="B8" s="87">
        <v>0.08</v>
      </c>
    </row>
    <row r="9" spans="1:2" x14ac:dyDescent="0.25">
      <c r="A9" t="s">
        <v>109</v>
      </c>
      <c r="B9" s="25">
        <v>0.3</v>
      </c>
    </row>
    <row r="12" spans="1:2" x14ac:dyDescent="0.25">
      <c r="A12" t="s">
        <v>114</v>
      </c>
      <c r="B12" s="25">
        <f>costD*(1-B9)</f>
        <v>5.5999999999999994E-2</v>
      </c>
    </row>
    <row r="13" spans="1:2" x14ac:dyDescent="0.25">
      <c r="B13" s="22"/>
    </row>
    <row r="14" spans="1:2" x14ac:dyDescent="0.25">
      <c r="B14" s="22"/>
    </row>
    <row r="15" spans="1:2" x14ac:dyDescent="0.25">
      <c r="A15" t="s">
        <v>111</v>
      </c>
      <c r="B15" s="25">
        <f>equityP*CE</f>
        <v>4.9500000000000002E-2</v>
      </c>
    </row>
    <row r="16" spans="1:2" x14ac:dyDescent="0.25">
      <c r="A16" t="s">
        <v>112</v>
      </c>
      <c r="B16" s="25">
        <f>B12*debtP</f>
        <v>3.7519999999999998E-2</v>
      </c>
    </row>
    <row r="17" spans="1:2" x14ac:dyDescent="0.25">
      <c r="A17" t="s">
        <v>110</v>
      </c>
      <c r="B17" s="25">
        <f>SUM(B15:B16)</f>
        <v>8.702E-2</v>
      </c>
    </row>
    <row r="20" spans="1:2" x14ac:dyDescent="0.25">
      <c r="B20" s="22"/>
    </row>
    <row r="21" spans="1:2" x14ac:dyDescent="0.25">
      <c r="B21" s="22"/>
    </row>
    <row r="22" spans="1:2" x14ac:dyDescent="0.25">
      <c r="B22" s="86"/>
    </row>
    <row r="23" spans="1:2" x14ac:dyDescent="0.25">
      <c r="B23" s="86"/>
    </row>
    <row r="24" spans="1:2" x14ac:dyDescent="0.25">
      <c r="B24" s="25"/>
    </row>
    <row r="25" spans="1:2" x14ac:dyDescent="0.25">
      <c r="B25" s="87"/>
    </row>
    <row r="26" spans="1:2" x14ac:dyDescent="0.25">
      <c r="B26" s="25"/>
    </row>
    <row r="29" spans="1:2" x14ac:dyDescent="0.25">
      <c r="B29" s="25"/>
    </row>
    <row r="30" spans="1:2" x14ac:dyDescent="0.25">
      <c r="B30" s="22"/>
    </row>
    <row r="31" spans="1:2" x14ac:dyDescent="0.25">
      <c r="B31" s="22"/>
    </row>
    <row r="32" spans="1:2" x14ac:dyDescent="0.25">
      <c r="B32" s="25"/>
    </row>
    <row r="33" spans="2:2" x14ac:dyDescent="0.25">
      <c r="B33" s="25"/>
    </row>
    <row r="34" spans="2:2" x14ac:dyDescent="0.25">
      <c r="B34" s="2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135DA-F86D-486E-B0AA-76CAE52D266E}">
  <dimension ref="A1:F37"/>
  <sheetViews>
    <sheetView topLeftCell="A7" zoomScale="110" zoomScaleNormal="110" workbookViewId="0">
      <selection activeCell="B35" sqref="B35"/>
    </sheetView>
  </sheetViews>
  <sheetFormatPr baseColWidth="10" defaultRowHeight="15" x14ac:dyDescent="0.25"/>
  <cols>
    <col min="1" max="1" width="19.7109375" bestFit="1" customWidth="1"/>
    <col min="2" max="2" width="30.5703125" customWidth="1"/>
    <col min="3" max="3" width="22.140625" bestFit="1" customWidth="1"/>
    <col min="4" max="5" width="13.28515625" bestFit="1" customWidth="1"/>
  </cols>
  <sheetData>
    <row r="1" spans="1:6" ht="15.75" x14ac:dyDescent="0.3">
      <c r="A1" s="110" t="s">
        <v>16</v>
      </c>
      <c r="B1" s="110"/>
      <c r="C1" s="110"/>
      <c r="D1" s="110"/>
    </row>
    <row r="2" spans="1:6" ht="15.75" x14ac:dyDescent="0.3">
      <c r="A2" s="111" t="s">
        <v>9</v>
      </c>
      <c r="B2" s="111"/>
      <c r="C2" s="111"/>
      <c r="D2" s="111"/>
    </row>
    <row r="3" spans="1:6" ht="15.75" x14ac:dyDescent="0.3">
      <c r="A3" s="105" t="s">
        <v>8</v>
      </c>
      <c r="B3" s="106"/>
      <c r="C3" s="106"/>
      <c r="D3" s="107"/>
    </row>
    <row r="4" spans="1:6" x14ac:dyDescent="0.25">
      <c r="A4" s="31" t="s">
        <v>3</v>
      </c>
      <c r="B4" s="43"/>
      <c r="C4" s="44" t="s">
        <v>4</v>
      </c>
      <c r="D4" s="45"/>
    </row>
    <row r="5" spans="1:6" x14ac:dyDescent="0.25">
      <c r="A5" s="36" t="s">
        <v>13</v>
      </c>
      <c r="B5" s="46">
        <v>30000</v>
      </c>
      <c r="C5" s="30" t="s">
        <v>27</v>
      </c>
      <c r="D5" s="46">
        <v>23400</v>
      </c>
    </row>
    <row r="6" spans="1:6" x14ac:dyDescent="0.25">
      <c r="A6" s="36" t="s">
        <v>18</v>
      </c>
      <c r="B6" s="46">
        <v>14200</v>
      </c>
      <c r="C6" s="30" t="s">
        <v>10</v>
      </c>
      <c r="D6" s="46">
        <v>33000</v>
      </c>
    </row>
    <row r="7" spans="1:6" x14ac:dyDescent="0.25">
      <c r="A7" s="36" t="s">
        <v>17</v>
      </c>
      <c r="B7" s="46">
        <v>33000</v>
      </c>
      <c r="C7" s="30"/>
      <c r="D7" s="46"/>
    </row>
    <row r="8" spans="1:6" x14ac:dyDescent="0.25">
      <c r="A8" s="31" t="s">
        <v>0</v>
      </c>
      <c r="B8" s="47"/>
      <c r="C8" s="31" t="s">
        <v>7</v>
      </c>
      <c r="D8" s="48"/>
    </row>
    <row r="9" spans="1:6" x14ac:dyDescent="0.25">
      <c r="A9" s="36" t="s">
        <v>15</v>
      </c>
      <c r="B9" s="46">
        <v>7500</v>
      </c>
      <c r="C9" s="36" t="s">
        <v>11</v>
      </c>
      <c r="D9" s="46">
        <v>30000</v>
      </c>
      <c r="E9" s="24">
        <f>D5+D6+D9</f>
        <v>86400</v>
      </c>
      <c r="F9" s="25">
        <f>E9/D13</f>
        <v>0.86313686313686311</v>
      </c>
    </row>
    <row r="10" spans="1:6" x14ac:dyDescent="0.25">
      <c r="A10" s="36" t="s">
        <v>14</v>
      </c>
      <c r="B10" s="46">
        <v>15400</v>
      </c>
      <c r="C10" s="31" t="s">
        <v>1</v>
      </c>
      <c r="D10" s="48"/>
      <c r="F10" s="87"/>
    </row>
    <row r="11" spans="1:6" x14ac:dyDescent="0.25">
      <c r="A11" s="36"/>
      <c r="B11" s="49"/>
      <c r="C11" s="36" t="s">
        <v>2</v>
      </c>
      <c r="D11" s="46">
        <v>10000</v>
      </c>
      <c r="F11" s="87"/>
    </row>
    <row r="12" spans="1:6" x14ac:dyDescent="0.25">
      <c r="A12" s="36"/>
      <c r="B12" s="46"/>
      <c r="C12" s="30" t="s">
        <v>12</v>
      </c>
      <c r="D12" s="46">
        <v>3700</v>
      </c>
      <c r="E12" s="24">
        <f>D12+D11</f>
        <v>13700</v>
      </c>
      <c r="F12" s="25">
        <f>E12/D13</f>
        <v>0.13686313686313686</v>
      </c>
    </row>
    <row r="13" spans="1:6" x14ac:dyDescent="0.25">
      <c r="A13" s="50" t="s">
        <v>5</v>
      </c>
      <c r="B13" s="51">
        <f>SUM(B4:B12)</f>
        <v>100100</v>
      </c>
      <c r="C13" s="52" t="s">
        <v>5</v>
      </c>
      <c r="D13" s="51">
        <f>SUM(D4:D12)</f>
        <v>100100</v>
      </c>
      <c r="E13" s="24">
        <f>SUM(E9:E12)</f>
        <v>100100</v>
      </c>
      <c r="F13" s="87">
        <f>SUM(F9:F12)</f>
        <v>1</v>
      </c>
    </row>
    <row r="16" spans="1:6" x14ac:dyDescent="0.25">
      <c r="A16" t="s">
        <v>105</v>
      </c>
    </row>
    <row r="17" spans="1:2" x14ac:dyDescent="0.25">
      <c r="A17" t="s">
        <v>34</v>
      </c>
      <c r="B17" s="87">
        <f>F12</f>
        <v>0.13686313686313686</v>
      </c>
    </row>
    <row r="18" spans="1:2" x14ac:dyDescent="0.25">
      <c r="A18" t="s">
        <v>106</v>
      </c>
      <c r="B18" s="87">
        <f>F9</f>
        <v>0.86313686313686311</v>
      </c>
    </row>
    <row r="20" spans="1:2" x14ac:dyDescent="0.25">
      <c r="A20" t="s">
        <v>128</v>
      </c>
      <c r="B20" s="86">
        <f>B23+(B25*(B24-B23))</f>
        <v>0.215</v>
      </c>
    </row>
    <row r="23" spans="1:2" x14ac:dyDescent="0.25">
      <c r="A23" t="s">
        <v>99</v>
      </c>
      <c r="B23" s="22">
        <v>0.02</v>
      </c>
    </row>
    <row r="24" spans="1:2" x14ac:dyDescent="0.25">
      <c r="A24" t="s">
        <v>115</v>
      </c>
      <c r="B24" s="22">
        <v>0.15</v>
      </c>
    </row>
    <row r="25" spans="1:2" x14ac:dyDescent="0.25">
      <c r="A25" t="s">
        <v>101</v>
      </c>
      <c r="B25">
        <v>1.5</v>
      </c>
    </row>
    <row r="27" spans="1:2" x14ac:dyDescent="0.25">
      <c r="A27" t="s">
        <v>108</v>
      </c>
      <c r="B27" s="25">
        <v>0.08</v>
      </c>
    </row>
    <row r="28" spans="1:2" x14ac:dyDescent="0.25">
      <c r="A28" t="s">
        <v>107</v>
      </c>
      <c r="B28" s="87">
        <f>B20</f>
        <v>0.215</v>
      </c>
    </row>
    <row r="30" spans="1:2" x14ac:dyDescent="0.25">
      <c r="A30" t="s">
        <v>109</v>
      </c>
      <c r="B30" s="22">
        <v>0.3</v>
      </c>
    </row>
    <row r="32" spans="1:2" x14ac:dyDescent="0.25">
      <c r="A32" t="s">
        <v>129</v>
      </c>
      <c r="B32" s="25">
        <f>B27*0.7</f>
        <v>5.5999999999999994E-2</v>
      </c>
    </row>
    <row r="35" spans="1:2" x14ac:dyDescent="0.25">
      <c r="A35" t="s">
        <v>111</v>
      </c>
      <c r="B35" s="87">
        <f>B28*B17</f>
        <v>2.9425574425574426E-2</v>
      </c>
    </row>
    <row r="36" spans="1:2" x14ac:dyDescent="0.25">
      <c r="A36" t="s">
        <v>112</v>
      </c>
      <c r="B36" s="87">
        <f>B32*B18</f>
        <v>4.833566433566433E-2</v>
      </c>
    </row>
    <row r="37" spans="1:2" x14ac:dyDescent="0.25">
      <c r="A37" t="s">
        <v>116</v>
      </c>
      <c r="B37" s="87">
        <f>B35+B36</f>
        <v>7.7761238761238749E-2</v>
      </c>
    </row>
  </sheetData>
  <mergeCells count="3">
    <mergeCell ref="A1:D1"/>
    <mergeCell ref="A2:D2"/>
    <mergeCell ref="A3:D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192F9-DF4B-4418-8C96-9DEF2542CB0B}">
  <dimension ref="A3:D13"/>
  <sheetViews>
    <sheetView zoomScaleNormal="100" workbookViewId="0">
      <selection activeCell="K41" sqref="K41"/>
    </sheetView>
  </sheetViews>
  <sheetFormatPr baseColWidth="10" defaultRowHeight="15" x14ac:dyDescent="0.25"/>
  <cols>
    <col min="1" max="1" width="13.42578125" bestFit="1" customWidth="1"/>
    <col min="2" max="4" width="12.7109375" bestFit="1" customWidth="1"/>
  </cols>
  <sheetData>
    <row r="3" spans="1:4" x14ac:dyDescent="0.25">
      <c r="B3">
        <v>2021</v>
      </c>
      <c r="C3">
        <v>2022</v>
      </c>
      <c r="D3">
        <v>2023</v>
      </c>
    </row>
    <row r="4" spans="1:4" x14ac:dyDescent="0.25">
      <c r="A4" t="s">
        <v>117</v>
      </c>
      <c r="B4" s="17">
        <v>550000</v>
      </c>
      <c r="C4" s="17">
        <v>750000</v>
      </c>
      <c r="D4" s="17">
        <v>800000</v>
      </c>
    </row>
    <row r="5" spans="1:4" x14ac:dyDescent="0.25">
      <c r="A5" t="s">
        <v>118</v>
      </c>
      <c r="B5" s="88">
        <f>B4*0.3</f>
        <v>165000</v>
      </c>
      <c r="C5" s="88">
        <f t="shared" ref="C5:D5" si="0">C4*0.3</f>
        <v>225000</v>
      </c>
      <c r="D5" s="88">
        <f t="shared" si="0"/>
        <v>240000</v>
      </c>
    </row>
    <row r="6" spans="1:4" x14ac:dyDescent="0.25">
      <c r="A6" t="s">
        <v>119</v>
      </c>
      <c r="B6" s="89">
        <f>B4-B5</f>
        <v>385000</v>
      </c>
      <c r="C6" s="89">
        <f t="shared" ref="C6:D6" si="1">C4-C5</f>
        <v>525000</v>
      </c>
      <c r="D6" s="89">
        <f t="shared" si="1"/>
        <v>560000</v>
      </c>
    </row>
    <row r="7" spans="1:4" x14ac:dyDescent="0.25">
      <c r="A7" t="s">
        <v>120</v>
      </c>
      <c r="B7" s="12">
        <v>7000</v>
      </c>
      <c r="C7" s="12">
        <v>7000</v>
      </c>
      <c r="D7" s="12">
        <v>7000</v>
      </c>
    </row>
    <row r="8" spans="1:4" x14ac:dyDescent="0.25">
      <c r="A8" t="s">
        <v>121</v>
      </c>
      <c r="B8" s="12">
        <v>-4000</v>
      </c>
      <c r="C8" s="12">
        <v>-4000</v>
      </c>
      <c r="D8" s="12">
        <v>-4000</v>
      </c>
    </row>
    <row r="9" spans="1:4" x14ac:dyDescent="0.25">
      <c r="A9" t="s">
        <v>122</v>
      </c>
      <c r="B9" s="12">
        <v>10000</v>
      </c>
      <c r="C9" s="12">
        <v>0</v>
      </c>
      <c r="D9" s="12">
        <v>0</v>
      </c>
    </row>
    <row r="11" spans="1:4" x14ac:dyDescent="0.25">
      <c r="A11" t="s">
        <v>123</v>
      </c>
      <c r="B11" s="24">
        <f>B6+B7-B8-B9</f>
        <v>386000</v>
      </c>
      <c r="C11" s="24">
        <f t="shared" ref="C11:D11" si="2">C6+C7-C8-C9</f>
        <v>536000</v>
      </c>
      <c r="D11" s="24">
        <f t="shared" si="2"/>
        <v>571000</v>
      </c>
    </row>
    <row r="13" spans="1:4" x14ac:dyDescent="0.25">
      <c r="A13" t="s">
        <v>116</v>
      </c>
      <c r="B13" s="22">
        <v>0.15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DEA22-BD74-4920-9136-E918CCA98AD4}">
  <dimension ref="A3:D51"/>
  <sheetViews>
    <sheetView tabSelected="1" topLeftCell="A10" zoomScaleNormal="100" workbookViewId="0">
      <selection activeCell="B47" sqref="B47"/>
    </sheetView>
  </sheetViews>
  <sheetFormatPr baseColWidth="10" defaultRowHeight="15" x14ac:dyDescent="0.25"/>
  <cols>
    <col min="1" max="1" width="19" bestFit="1" customWidth="1"/>
    <col min="2" max="2" width="15" bestFit="1" customWidth="1"/>
    <col min="3" max="4" width="13.28515625" bestFit="1" customWidth="1"/>
  </cols>
  <sheetData>
    <row r="3" spans="1:2" x14ac:dyDescent="0.25">
      <c r="B3">
        <v>2021</v>
      </c>
    </row>
    <row r="4" spans="1:2" x14ac:dyDescent="0.25">
      <c r="A4" t="s">
        <v>84</v>
      </c>
      <c r="B4" s="12">
        <v>35000</v>
      </c>
    </row>
    <row r="5" spans="1:2" x14ac:dyDescent="0.25">
      <c r="A5" t="s">
        <v>85</v>
      </c>
      <c r="B5" s="12">
        <v>17000</v>
      </c>
    </row>
    <row r="6" spans="1:2" x14ac:dyDescent="0.25">
      <c r="A6" t="s">
        <v>91</v>
      </c>
      <c r="B6" s="12">
        <f>B4-B5</f>
        <v>18000</v>
      </c>
    </row>
    <row r="7" spans="1:2" x14ac:dyDescent="0.25">
      <c r="B7" s="12"/>
    </row>
    <row r="8" spans="1:2" x14ac:dyDescent="0.25">
      <c r="A8" t="s">
        <v>94</v>
      </c>
      <c r="B8" s="12">
        <v>8000</v>
      </c>
    </row>
    <row r="9" spans="1:2" x14ac:dyDescent="0.25">
      <c r="A9" t="s">
        <v>86</v>
      </c>
      <c r="B9" s="12">
        <v>2700</v>
      </c>
    </row>
    <row r="10" spans="1:2" x14ac:dyDescent="0.25">
      <c r="A10" s="82" t="s">
        <v>95</v>
      </c>
      <c r="B10" s="83">
        <v>300</v>
      </c>
    </row>
    <row r="11" spans="1:2" x14ac:dyDescent="0.25">
      <c r="A11" t="s">
        <v>92</v>
      </c>
      <c r="B11" s="12">
        <f>B6-B8-B9-B10</f>
        <v>7000</v>
      </c>
    </row>
    <row r="12" spans="1:2" x14ac:dyDescent="0.25">
      <c r="B12" s="12"/>
    </row>
    <row r="13" spans="1:2" x14ac:dyDescent="0.25">
      <c r="A13" t="s">
        <v>87</v>
      </c>
      <c r="B13" s="12">
        <v>1500</v>
      </c>
    </row>
    <row r="14" spans="1:2" x14ac:dyDescent="0.25">
      <c r="A14" t="s">
        <v>88</v>
      </c>
      <c r="B14" s="12">
        <v>0</v>
      </c>
    </row>
    <row r="15" spans="1:2" x14ac:dyDescent="0.25">
      <c r="A15" t="s">
        <v>93</v>
      </c>
      <c r="B15" s="12">
        <f>B11+B13-B14</f>
        <v>8500</v>
      </c>
    </row>
    <row r="16" spans="1:2" x14ac:dyDescent="0.25">
      <c r="B16" s="12"/>
    </row>
    <row r="17" spans="1:2" x14ac:dyDescent="0.25">
      <c r="A17" t="s">
        <v>89</v>
      </c>
      <c r="B17" s="83">
        <f>B15*0.3</f>
        <v>2550</v>
      </c>
    </row>
    <row r="18" spans="1:2" x14ac:dyDescent="0.25">
      <c r="B18" s="12"/>
    </row>
    <row r="19" spans="1:2" x14ac:dyDescent="0.25">
      <c r="A19" t="s">
        <v>90</v>
      </c>
      <c r="B19" s="12">
        <f>B15-B17</f>
        <v>5950</v>
      </c>
    </row>
    <row r="23" spans="1:2" x14ac:dyDescent="0.25">
      <c r="B23">
        <v>2021</v>
      </c>
    </row>
    <row r="24" spans="1:2" x14ac:dyDescent="0.25">
      <c r="A24" t="s">
        <v>117</v>
      </c>
      <c r="B24" s="17">
        <f>B6-B8-B9-B10</f>
        <v>7000</v>
      </c>
    </row>
    <row r="25" spans="1:2" x14ac:dyDescent="0.25">
      <c r="A25" t="s">
        <v>118</v>
      </c>
      <c r="B25" s="88">
        <f>B24*0.3</f>
        <v>2100</v>
      </c>
    </row>
    <row r="26" spans="1:2" x14ac:dyDescent="0.25">
      <c r="A26" t="s">
        <v>119</v>
      </c>
      <c r="B26" s="24">
        <f>B24-B25</f>
        <v>4900</v>
      </c>
    </row>
    <row r="27" spans="1:2" x14ac:dyDescent="0.25">
      <c r="A27" t="s">
        <v>120</v>
      </c>
      <c r="B27" s="12">
        <f>B10</f>
        <v>300</v>
      </c>
    </row>
    <row r="28" spans="1:2" x14ac:dyDescent="0.25">
      <c r="A28" t="s">
        <v>121</v>
      </c>
      <c r="B28" s="12">
        <v>-2000</v>
      </c>
    </row>
    <row r="29" spans="1:2" x14ac:dyDescent="0.25">
      <c r="A29" t="s">
        <v>122</v>
      </c>
      <c r="B29" s="12">
        <v>5000</v>
      </c>
    </row>
    <row r="31" spans="1:2" x14ac:dyDescent="0.25">
      <c r="A31" t="s">
        <v>123</v>
      </c>
      <c r="B31" s="24">
        <f>B26+B27-B28-B29</f>
        <v>2200</v>
      </c>
    </row>
    <row r="34" spans="1:4" x14ac:dyDescent="0.25">
      <c r="A34" t="s">
        <v>124</v>
      </c>
    </row>
    <row r="36" spans="1:4" x14ac:dyDescent="0.25">
      <c r="B36">
        <v>2021</v>
      </c>
      <c r="C36">
        <v>2022</v>
      </c>
      <c r="D36">
        <v>2023</v>
      </c>
    </row>
    <row r="37" spans="1:4" x14ac:dyDescent="0.25">
      <c r="A37" t="s">
        <v>117</v>
      </c>
      <c r="B37" s="17">
        <v>550000</v>
      </c>
      <c r="C37" s="17">
        <v>750000</v>
      </c>
      <c r="D37" s="17">
        <v>800000</v>
      </c>
    </row>
    <row r="38" spans="1:4" x14ac:dyDescent="0.25">
      <c r="A38" t="s">
        <v>118</v>
      </c>
      <c r="B38" s="88">
        <f>B37*0.3</f>
        <v>165000</v>
      </c>
      <c r="C38" s="88">
        <f t="shared" ref="C38:D38" si="0">C37*0.3</f>
        <v>225000</v>
      </c>
      <c r="D38" s="88">
        <f t="shared" si="0"/>
        <v>240000</v>
      </c>
    </row>
    <row r="39" spans="1:4" x14ac:dyDescent="0.25">
      <c r="A39" t="s">
        <v>119</v>
      </c>
      <c r="B39" s="24">
        <f>B37-B38</f>
        <v>385000</v>
      </c>
      <c r="C39" s="24">
        <f t="shared" ref="C39:D39" si="1">C37-C38</f>
        <v>525000</v>
      </c>
      <c r="D39" s="24">
        <f t="shared" si="1"/>
        <v>560000</v>
      </c>
    </row>
    <row r="40" spans="1:4" x14ac:dyDescent="0.25">
      <c r="A40" t="s">
        <v>120</v>
      </c>
      <c r="B40" s="12">
        <v>7000</v>
      </c>
      <c r="C40" s="12">
        <v>7000</v>
      </c>
      <c r="D40" s="12">
        <v>7000</v>
      </c>
    </row>
    <row r="41" spans="1:4" x14ac:dyDescent="0.25">
      <c r="A41" t="s">
        <v>121</v>
      </c>
      <c r="B41" s="12">
        <v>-4000</v>
      </c>
      <c r="C41" s="12">
        <v>-4000</v>
      </c>
      <c r="D41" s="12">
        <v>-4000</v>
      </c>
    </row>
    <row r="42" spans="1:4" x14ac:dyDescent="0.25">
      <c r="A42" t="s">
        <v>122</v>
      </c>
      <c r="B42" s="12">
        <v>10000</v>
      </c>
      <c r="C42" s="12">
        <v>0</v>
      </c>
      <c r="D42" s="12">
        <v>0</v>
      </c>
    </row>
    <row r="44" spans="1:4" x14ac:dyDescent="0.25">
      <c r="A44" t="s">
        <v>123</v>
      </c>
      <c r="B44" s="24">
        <f>B39+B40-B41-B42</f>
        <v>386000</v>
      </c>
      <c r="C44" s="24">
        <f t="shared" ref="C44:D44" si="2">C39+C40-C41-C42</f>
        <v>536000</v>
      </c>
      <c r="D44" s="24">
        <f t="shared" si="2"/>
        <v>571000</v>
      </c>
    </row>
    <row r="47" spans="1:4" x14ac:dyDescent="0.25">
      <c r="A47" t="s">
        <v>116</v>
      </c>
      <c r="B47" s="22">
        <v>0.15</v>
      </c>
    </row>
    <row r="49" spans="1:4" x14ac:dyDescent="0.25">
      <c r="A49" t="s">
        <v>125</v>
      </c>
      <c r="B49" s="24">
        <f>B44/(1+B47)^1</f>
        <v>335652.17391304352</v>
      </c>
      <c r="C49" s="24">
        <f>C44/(1+C47)^2</f>
        <v>536000</v>
      </c>
      <c r="D49" s="24">
        <f>D44/(1+D47)^3</f>
        <v>571000</v>
      </c>
    </row>
    <row r="51" spans="1:4" x14ac:dyDescent="0.25">
      <c r="A51" t="s">
        <v>126</v>
      </c>
      <c r="B51" s="24">
        <f>B49+C49+D49</f>
        <v>1442652.1739130435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7</vt:i4>
      </vt:variant>
    </vt:vector>
  </HeadingPairs>
  <TitlesOfParts>
    <vt:vector size="23" baseType="lpstr">
      <vt:lpstr>Balance General</vt:lpstr>
      <vt:lpstr>Blance General R</vt:lpstr>
      <vt:lpstr>Estructura de Capital</vt:lpstr>
      <vt:lpstr>Balance General en el Tiempo</vt:lpstr>
      <vt:lpstr>Balance General en el tiempo R</vt:lpstr>
      <vt:lpstr>Ejemplos dinero tiempo</vt:lpstr>
      <vt:lpstr>Dinero en el tiempo</vt:lpstr>
      <vt:lpstr>Ejercicios Tiempo</vt:lpstr>
      <vt:lpstr>Dinero en el tiempo 2</vt:lpstr>
      <vt:lpstr>Income statement</vt:lpstr>
      <vt:lpstr>Taxshield</vt:lpstr>
      <vt:lpstr>CAPM</vt:lpstr>
      <vt:lpstr>WACC</vt:lpstr>
      <vt:lpstr>WACC2</vt:lpstr>
      <vt:lpstr>FCFExample</vt:lpstr>
      <vt:lpstr>FCF exercise</vt:lpstr>
      <vt:lpstr>CE</vt:lpstr>
      <vt:lpstr>costD</vt:lpstr>
      <vt:lpstr>costE</vt:lpstr>
      <vt:lpstr>CostEq</vt:lpstr>
      <vt:lpstr>debtP</vt:lpstr>
      <vt:lpstr>equityP</vt:lpstr>
      <vt:lpstr>euityP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N</dc:creator>
  <cp:lastModifiedBy>Luis N</cp:lastModifiedBy>
  <dcterms:created xsi:type="dcterms:W3CDTF">2021-08-31T07:54:29Z</dcterms:created>
  <dcterms:modified xsi:type="dcterms:W3CDTF">2021-09-03T21:21:16Z</dcterms:modified>
</cp:coreProperties>
</file>