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70EF05C-0312-4DF4-8DE9-F6C1F4E9D393}" xr6:coauthVersionLast="47" xr6:coauthVersionMax="47" xr10:uidLastSave="{00000000-0000-0000-0000-000000000000}"/>
  <bookViews>
    <workbookView xWindow="0" yWindow="0" windowWidth="28800" windowHeight="15600" xr2:uid="{59D45655-067F-46E9-823C-91A440C02D1A}"/>
  </bookViews>
  <sheets>
    <sheet name="Hoja1" sheetId="1" r:id="rId1"/>
    <sheet name="Hoja2" sheetId="2" r:id="rId2"/>
  </sheets>
  <definedNames>
    <definedName name="_xlnm._FilterDatabase" localSheetId="0" hidden="1">Hoja1!$A$1:$AO$1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" i="1" l="1"/>
  <c r="AJ2" i="1"/>
  <c r="AI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K2" i="1"/>
  <c r="AG35" i="1"/>
  <c r="AG14" i="1"/>
  <c r="AG6" i="1"/>
  <c r="AG9" i="1"/>
  <c r="AG7" i="1"/>
  <c r="AG27" i="1"/>
  <c r="AG8" i="1"/>
  <c r="AG26" i="1"/>
  <c r="AG37" i="1"/>
  <c r="AG25" i="1"/>
  <c r="AG32" i="1"/>
  <c r="AG17" i="1"/>
  <c r="AG24" i="1"/>
  <c r="AG13" i="1"/>
  <c r="AG16" i="1"/>
  <c r="AG33" i="1"/>
  <c r="AG19" i="1"/>
  <c r="AG20" i="1"/>
  <c r="AG38" i="1"/>
  <c r="AG31" i="1"/>
  <c r="AG22" i="1"/>
  <c r="AG15" i="1"/>
  <c r="AG34" i="1"/>
  <c r="AG29" i="1"/>
  <c r="AG3" i="1"/>
  <c r="AG40" i="1"/>
  <c r="AG18" i="1"/>
  <c r="AG28" i="1"/>
  <c r="AG21" i="1"/>
  <c r="AG36" i="1"/>
  <c r="AG11" i="1"/>
  <c r="AG10" i="1"/>
  <c r="AG5" i="1"/>
  <c r="AG23" i="1"/>
  <c r="AG39" i="1"/>
  <c r="AG4" i="1"/>
  <c r="AG30" i="1"/>
  <c r="AG12" i="1"/>
</calcChain>
</file>

<file path=xl/sharedStrings.xml><?xml version="1.0" encoding="utf-8"?>
<sst xmlns="http://schemas.openxmlformats.org/spreadsheetml/2006/main" count="562" uniqueCount="253">
  <si>
    <t>Nombre</t>
  </si>
  <si>
    <t>Apellido(s)</t>
  </si>
  <si>
    <t>Tarea:Mi Presentación (Real)</t>
  </si>
  <si>
    <t>Tarea:Comandos básicos de git 👩‍💻 (Real)</t>
  </si>
  <si>
    <t>Tarea:Página de ventas (Real)</t>
  </si>
  <si>
    <t>Tarea:A2 de clóset (Real)</t>
  </si>
  <si>
    <t>Tarea:Clonar un repositorio de GitHub (Real)</t>
  </si>
  <si>
    <t>Tarea:Progreso semana 1: Repositorio, wireframes y maquetado. (Real)</t>
  </si>
  <si>
    <t>Tarea:Ticketmaster 2.0 (Real)</t>
  </si>
  <si>
    <t>Tarea:Trabajando con Branches (Real)</t>
  </si>
  <si>
    <t>Tarea:Taller de escritura de monos (Real)</t>
  </si>
  <si>
    <t>Tarea:Mi presentación con diseño (Real)</t>
  </si>
  <si>
    <t>Tarea:myInstragram (Real)</t>
  </si>
  <si>
    <t>Tarea:Progreso Semana 2(Base de Datos, PHP) (Real)</t>
  </si>
  <si>
    <t>Tarea:Tarea sobre introducción a SQL (Real)</t>
  </si>
  <si>
    <t>Tarea:Explorador de archivos (Real)</t>
  </si>
  <si>
    <t>Tarea:Lista de tareas (Real)</t>
  </si>
  <si>
    <t>Tarea:Mi tienda animada :) (Real)</t>
  </si>
  <si>
    <t>Tarea:Pokémon_showdown2 (Real)</t>
  </si>
  <si>
    <t>Tarea:Conexión php - MySQL (Real)</t>
  </si>
  <si>
    <t>Tarea:Pokedex (Real)</t>
  </si>
  <si>
    <t>Tarea:Actividad casas cw (Real)</t>
  </si>
  <si>
    <t>Tarea:Pregunta2 2 (Real)</t>
  </si>
  <si>
    <t>Tarea:Entrega del Proyecto final (Real)</t>
  </si>
  <si>
    <t>Desarrollo de Aplicaciones Web Dinámicas</t>
  </si>
  <si>
    <t>Desarrollo de Interfaces Web Interactivas</t>
  </si>
  <si>
    <t>Desarrollo de Proyectos Web</t>
  </si>
  <si>
    <t>Desarrollo de Aplicaciones Web Dinámicas + Proyecto</t>
  </si>
  <si>
    <t>Desarrollo de Interfaces Web Interactivas + Proyecto</t>
  </si>
  <si>
    <t>Desarrollo de Proyectos Web + Proyecto</t>
  </si>
  <si>
    <t>Total del curso (Real)</t>
  </si>
  <si>
    <t>BARRERA SANCHEZ</t>
  </si>
  <si>
    <t>ALEM ISAIAS</t>
  </si>
  <si>
    <t>8,5</t>
  </si>
  <si>
    <t>-</t>
  </si>
  <si>
    <t>9,5</t>
  </si>
  <si>
    <t>6,65</t>
  </si>
  <si>
    <t>6,5</t>
  </si>
  <si>
    <t>2,50</t>
  </si>
  <si>
    <t>9,67</t>
  </si>
  <si>
    <t>87,5</t>
  </si>
  <si>
    <t>AGUILAR ROJO</t>
  </si>
  <si>
    <t>AMEYALLI</t>
  </si>
  <si>
    <t>11,92</t>
  </si>
  <si>
    <t>7,5</t>
  </si>
  <si>
    <t>7,41</t>
  </si>
  <si>
    <t>9,88</t>
  </si>
  <si>
    <t>8,25</t>
  </si>
  <si>
    <t>8,00</t>
  </si>
  <si>
    <t>164,92</t>
  </si>
  <si>
    <t>Uicab Benavides</t>
  </si>
  <si>
    <t>Ana Pamela</t>
  </si>
  <si>
    <t>9,8</t>
  </si>
  <si>
    <t>8,2</t>
  </si>
  <si>
    <t>6,72</t>
  </si>
  <si>
    <t>4,80</t>
  </si>
  <si>
    <t>5,33</t>
  </si>
  <si>
    <t>6,19</t>
  </si>
  <si>
    <t>6,39</t>
  </si>
  <si>
    <t>89,3</t>
  </si>
  <si>
    <t>LOPEZ AVILES</t>
  </si>
  <si>
    <t>ANGELICA ARACELI 510</t>
  </si>
  <si>
    <t>9,7</t>
  </si>
  <si>
    <t>6,79</t>
  </si>
  <si>
    <t>6,46</t>
  </si>
  <si>
    <t>0,67</t>
  </si>
  <si>
    <t>6,67</t>
  </si>
  <si>
    <t>78,12</t>
  </si>
  <si>
    <t>Lara Munguía</t>
  </si>
  <si>
    <t>Britzia Jael</t>
  </si>
  <si>
    <t>6,17</t>
  </si>
  <si>
    <t>1,00</t>
  </si>
  <si>
    <t>8,67</t>
  </si>
  <si>
    <t>81,7</t>
  </si>
  <si>
    <t>TAMAYO RODRIGUEZ</t>
  </si>
  <si>
    <t>BRUNO</t>
  </si>
  <si>
    <t>7,3</t>
  </si>
  <si>
    <t>6,37</t>
  </si>
  <si>
    <t>1,33</t>
  </si>
  <si>
    <t>6,33</t>
  </si>
  <si>
    <t>76,3</t>
  </si>
  <si>
    <t>Julio Cesar</t>
  </si>
  <si>
    <t>Cantero Castañeda</t>
  </si>
  <si>
    <t>9,44</t>
  </si>
  <si>
    <t>7,33</t>
  </si>
  <si>
    <t>152,92</t>
  </si>
  <si>
    <t>Naranjo Vieyra</t>
  </si>
  <si>
    <t>Carlos</t>
  </si>
  <si>
    <t>3,44</t>
  </si>
  <si>
    <t>5,42</t>
  </si>
  <si>
    <t>64,42</t>
  </si>
  <si>
    <t>Peredo López</t>
  </si>
  <si>
    <t>Citlalli Abigail</t>
  </si>
  <si>
    <t>8,97</t>
  </si>
  <si>
    <t>9,99</t>
  </si>
  <si>
    <t>2,92</t>
  </si>
  <si>
    <t>10,00</t>
  </si>
  <si>
    <t>119,92</t>
  </si>
  <si>
    <t>JOSÉ CLEMENTE</t>
  </si>
  <si>
    <t>CUPA SEPÚLVEDA</t>
  </si>
  <si>
    <t>10,17</t>
  </si>
  <si>
    <t>7,38</t>
  </si>
  <si>
    <t>9,58</t>
  </si>
  <si>
    <t>9,46</t>
  </si>
  <si>
    <t>155,3</t>
  </si>
  <si>
    <t>Baca López</t>
  </si>
  <si>
    <t>Daniel Salvador</t>
  </si>
  <si>
    <t>10,83</t>
  </si>
  <si>
    <t>9,57</t>
  </si>
  <si>
    <t>8,38</t>
  </si>
  <si>
    <t>5,08</t>
  </si>
  <si>
    <t>9,33</t>
  </si>
  <si>
    <t>139,4</t>
  </si>
  <si>
    <t>REYES LÓPEZ</t>
  </si>
  <si>
    <t>EMMA</t>
  </si>
  <si>
    <t>7,25</t>
  </si>
  <si>
    <t>169,63</t>
  </si>
  <si>
    <t>HERNANDEZ RAMIREZ</t>
  </si>
  <si>
    <t>ERNESTO SAID</t>
  </si>
  <si>
    <t>6,28</t>
  </si>
  <si>
    <t>7,50</t>
  </si>
  <si>
    <t>108,5</t>
  </si>
  <si>
    <t>Calzada Fuentes</t>
  </si>
  <si>
    <t>Fernanda Daniela</t>
  </si>
  <si>
    <t>8,44</t>
  </si>
  <si>
    <t>6,83</t>
  </si>
  <si>
    <t>Dávalos Serdán</t>
  </si>
  <si>
    <t>Frida Eunice</t>
  </si>
  <si>
    <t>3,21</t>
  </si>
  <si>
    <t>2,67</t>
  </si>
  <si>
    <t>28,92</t>
  </si>
  <si>
    <t>REGINA</t>
  </si>
  <si>
    <t>GARCIA PORTILLO</t>
  </si>
  <si>
    <t>9,75</t>
  </si>
  <si>
    <t>3,00</t>
  </si>
  <si>
    <t>96,55</t>
  </si>
  <si>
    <t>GONZALEZ</t>
  </si>
  <si>
    <t>HUERTA FRANCISCO</t>
  </si>
  <si>
    <t>8,86</t>
  </si>
  <si>
    <t>2,00</t>
  </si>
  <si>
    <t>135,7</t>
  </si>
  <si>
    <t>URRUTIA ALFARO</t>
  </si>
  <si>
    <t>ISAAC ARTURO</t>
  </si>
  <si>
    <t>9,2</t>
  </si>
  <si>
    <t>4,5</t>
  </si>
  <si>
    <t>8,26</t>
  </si>
  <si>
    <t>9,34</t>
  </si>
  <si>
    <t>6,50</t>
  </si>
  <si>
    <t>154,58</t>
  </si>
  <si>
    <t>Toríz Flores</t>
  </si>
  <si>
    <t>Jesús Alejandro</t>
  </si>
  <si>
    <t>7,8</t>
  </si>
  <si>
    <t>6,09</t>
  </si>
  <si>
    <t>4,50</t>
  </si>
  <si>
    <t>115,39</t>
  </si>
  <si>
    <t>MIKAMI ALONSO</t>
  </si>
  <si>
    <t>JORGE MIYOSHI</t>
  </si>
  <si>
    <t>9,00</t>
  </si>
  <si>
    <t>120,5</t>
  </si>
  <si>
    <t>GARDUÑO SILVERIO</t>
  </si>
  <si>
    <t>JOSÉ EDUARDO</t>
  </si>
  <si>
    <t>8,08</t>
  </si>
  <si>
    <t>159,5</t>
  </si>
  <si>
    <t>RESENDIZ LINARES</t>
  </si>
  <si>
    <t>KAREN</t>
  </si>
  <si>
    <t>9,6</t>
  </si>
  <si>
    <t>9,13</t>
  </si>
  <si>
    <t>9,66</t>
  </si>
  <si>
    <t>161,98</t>
  </si>
  <si>
    <t>Rauda Ramírez</t>
  </si>
  <si>
    <t>Kendra Regina</t>
  </si>
  <si>
    <t>9,51</t>
  </si>
  <si>
    <t>5,00</t>
  </si>
  <si>
    <t>141,62</t>
  </si>
  <si>
    <t>Perez Takayanagui</t>
  </si>
  <si>
    <t>Louis Emilio</t>
  </si>
  <si>
    <t>7,06</t>
  </si>
  <si>
    <t>4,00</t>
  </si>
  <si>
    <t>8,33</t>
  </si>
  <si>
    <t>Alvarez Molina</t>
  </si>
  <si>
    <t>Luana Sofia</t>
  </si>
  <si>
    <t>7,42</t>
  </si>
  <si>
    <t>152,42</t>
  </si>
  <si>
    <t>ERICK</t>
  </si>
  <si>
    <t>MALVAEZ CAMACHO</t>
  </si>
  <si>
    <t>8,58</t>
  </si>
  <si>
    <t>159,23</t>
  </si>
  <si>
    <t>OLIVARES JIMENEZ</t>
  </si>
  <si>
    <t>MARIA ISABEL</t>
  </si>
  <si>
    <t>2,32</t>
  </si>
  <si>
    <t>0,83</t>
  </si>
  <si>
    <t>3,33</t>
  </si>
  <si>
    <t>30,92</t>
  </si>
  <si>
    <t>Jimena</t>
  </si>
  <si>
    <t>Martinez Mendez</t>
  </si>
  <si>
    <t>9,82</t>
  </si>
  <si>
    <t>154,92</t>
  </si>
  <si>
    <t>RAMIREZ ROJAS</t>
  </si>
  <si>
    <t>MIA</t>
  </si>
  <si>
    <t>9,1</t>
  </si>
  <si>
    <t>9,05</t>
  </si>
  <si>
    <t>4,42</t>
  </si>
  <si>
    <t>127,43</t>
  </si>
  <si>
    <t>Cimmino Yáñez</t>
  </si>
  <si>
    <t>Nicholas Joseph</t>
  </si>
  <si>
    <t>8,82</t>
  </si>
  <si>
    <t>148,92</t>
  </si>
  <si>
    <t>Manzo Roque</t>
  </si>
  <si>
    <t>Pedro Emiliano</t>
  </si>
  <si>
    <t>9,60</t>
  </si>
  <si>
    <t>4,67</t>
  </si>
  <si>
    <t>145,42</t>
  </si>
  <si>
    <t>RAMIREZ</t>
  </si>
  <si>
    <t>PEDROZA ALEXEI</t>
  </si>
  <si>
    <t>7,83</t>
  </si>
  <si>
    <t>146,08</t>
  </si>
  <si>
    <t>LOPEZ AGUILAR</t>
  </si>
  <si>
    <t>RENATA ITZEL</t>
  </si>
  <si>
    <t>9,9</t>
  </si>
  <si>
    <t>5,52</t>
  </si>
  <si>
    <t>4,25</t>
  </si>
  <si>
    <t>85,65</t>
  </si>
  <si>
    <t>Morales</t>
  </si>
  <si>
    <t>Robles Miriam</t>
  </si>
  <si>
    <t>6,77</t>
  </si>
  <si>
    <t>7,67</t>
  </si>
  <si>
    <t>93,92</t>
  </si>
  <si>
    <t>VARGAS SANTAMARIA</t>
  </si>
  <si>
    <t>RODRIGO ULISES</t>
  </si>
  <si>
    <t>4,08</t>
  </si>
  <si>
    <t>6,00</t>
  </si>
  <si>
    <t>54,75</t>
  </si>
  <si>
    <t>Erick Daniel</t>
  </si>
  <si>
    <t>Rodríguez Martínez</t>
  </si>
  <si>
    <t>8,09</t>
  </si>
  <si>
    <t>7,00</t>
  </si>
  <si>
    <t>128,8</t>
  </si>
  <si>
    <t>Morales Olivares</t>
  </si>
  <si>
    <t>Stephanie Guadalupe</t>
  </si>
  <si>
    <t>9,94</t>
  </si>
  <si>
    <t>9,25</t>
  </si>
  <si>
    <t>156,5</t>
  </si>
  <si>
    <t>Saul</t>
  </si>
  <si>
    <t>Vega Navas</t>
  </si>
  <si>
    <t>5,57</t>
  </si>
  <si>
    <t>1,42</t>
  </si>
  <si>
    <t>51,09</t>
  </si>
  <si>
    <t>JOSÉ MANUEL</t>
  </si>
  <si>
    <t>VELA GÓMEZ</t>
  </si>
  <si>
    <t>8,1</t>
  </si>
  <si>
    <t>9,56</t>
  </si>
  <si>
    <t>5,50</t>
  </si>
  <si>
    <t>144,02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</si>
</sst>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Arimo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BDD7EE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9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right" wrapText="1"/>
    </xf>
    <xf numFmtId="0" fontId="3" fillId="10" borderId="1" xfId="0" applyFont="1" applyFill="1" applyBorder="1" applyAlignment="1">
      <alignment wrapText="1"/>
    </xf>
    <xf numFmtId="2" fontId="3" fillId="8" borderId="1" xfId="0" applyNumberFormat="1" applyFont="1" applyFill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2" fontId="3" fillId="0" borderId="1" xfId="0" applyNumberFormat="1" applyFont="1" applyBorder="1" applyAlignment="1">
      <alignment wrapText="1"/>
    </xf>
    <xf numFmtId="2" fontId="3" fillId="6" borderId="1" xfId="0" applyNumberFormat="1" applyFont="1" applyFill="1" applyBorder="1" applyAlignment="1">
      <alignment horizontal="right" wrapText="1"/>
    </xf>
    <xf numFmtId="0" fontId="1" fillId="2" borderId="1" xfId="1" applyBorder="1" applyAlignment="1">
      <alignment wrapText="1"/>
    </xf>
    <xf numFmtId="2" fontId="2" fillId="3" borderId="1" xfId="2" applyNumberFormat="1" applyBorder="1" applyAlignment="1">
      <alignment wrapText="1"/>
    </xf>
  </cellXfs>
  <cellStyles count="3">
    <cellStyle name="Incorrecto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2CCE-E97E-4E3D-9A8A-77B61F3D3383}">
  <dimension ref="A1:AO42"/>
  <sheetViews>
    <sheetView tabSelected="1" zoomScale="85" zoomScaleNormal="85" workbookViewId="0">
      <selection activeCell="AU2" sqref="AU2"/>
    </sheetView>
  </sheetViews>
  <sheetFormatPr baseColWidth="10" defaultRowHeight="15"/>
  <cols>
    <col min="3" max="27" width="0" hidden="1" customWidth="1"/>
    <col min="33" max="33" width="16.85546875" customWidth="1"/>
  </cols>
  <sheetData>
    <row r="1" spans="1:41" ht="129.75" thickBo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5" t="s">
        <v>20</v>
      </c>
      <c r="V1" s="4" t="s">
        <v>21</v>
      </c>
      <c r="W1" s="4" t="s">
        <v>22</v>
      </c>
      <c r="X1" s="1" t="s">
        <v>23</v>
      </c>
      <c r="Y1" s="2" t="s">
        <v>24</v>
      </c>
      <c r="Z1" s="4" t="s">
        <v>25</v>
      </c>
      <c r="AA1" s="3" t="s">
        <v>26</v>
      </c>
      <c r="AB1" s="1" t="s">
        <v>27</v>
      </c>
      <c r="AC1" s="1" t="s">
        <v>28</v>
      </c>
      <c r="AD1" s="6" t="s">
        <v>29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30</v>
      </c>
    </row>
    <row r="2" spans="1:41" ht="30.75" thickBot="1">
      <c r="A2" s="9" t="s">
        <v>126</v>
      </c>
      <c r="B2" s="16" t="s">
        <v>127</v>
      </c>
      <c r="C2" s="1" t="s">
        <v>34</v>
      </c>
      <c r="D2" s="8">
        <v>0</v>
      </c>
      <c r="E2" s="8">
        <v>0</v>
      </c>
      <c r="F2" s="1" t="s">
        <v>34</v>
      </c>
      <c r="G2" s="8">
        <v>8</v>
      </c>
      <c r="H2" s="8">
        <v>10</v>
      </c>
      <c r="I2" s="8">
        <v>8</v>
      </c>
      <c r="J2" s="1" t="s">
        <v>34</v>
      </c>
      <c r="K2" s="8" t="s">
        <v>43</v>
      </c>
      <c r="L2" s="1" t="s">
        <v>34</v>
      </c>
      <c r="M2" s="1" t="s">
        <v>34</v>
      </c>
      <c r="N2" s="8" t="s">
        <v>44</v>
      </c>
      <c r="O2" s="8">
        <v>0</v>
      </c>
      <c r="P2" s="8">
        <v>9</v>
      </c>
      <c r="Q2" s="1" t="s">
        <v>34</v>
      </c>
      <c r="R2" s="1" t="s">
        <v>34</v>
      </c>
      <c r="S2" s="8">
        <v>0</v>
      </c>
      <c r="T2" s="8">
        <v>0</v>
      </c>
      <c r="U2" s="5" t="s">
        <v>34</v>
      </c>
      <c r="V2" s="8">
        <v>8</v>
      </c>
      <c r="W2" s="1" t="s">
        <v>34</v>
      </c>
      <c r="X2" s="8" t="s">
        <v>63</v>
      </c>
      <c r="Y2" s="8" t="s">
        <v>128</v>
      </c>
      <c r="Z2" s="8" t="s">
        <v>78</v>
      </c>
      <c r="AA2" s="8" t="s">
        <v>129</v>
      </c>
      <c r="AB2" s="12">
        <v>4.29</v>
      </c>
      <c r="AC2" s="13">
        <v>2.97</v>
      </c>
      <c r="AD2" s="13">
        <v>3.9</v>
      </c>
      <c r="AE2" s="13">
        <v>3.72</v>
      </c>
      <c r="AF2" s="1"/>
      <c r="AG2" s="14">
        <f>(+AB2+AC2+AD2)/3</f>
        <v>3.72</v>
      </c>
      <c r="AH2" s="1"/>
      <c r="AI2" s="1">
        <f>+AG2*0.7</f>
        <v>2.6040000000000001</v>
      </c>
      <c r="AJ2" s="1">
        <f>+AE2*0.3</f>
        <v>1.1160000000000001</v>
      </c>
      <c r="AK2" s="1">
        <f>+AI2+AJ2</f>
        <v>3.72</v>
      </c>
      <c r="AL2" s="1"/>
      <c r="AM2" s="1"/>
      <c r="AN2" s="1"/>
      <c r="AO2" s="8" t="s">
        <v>130</v>
      </c>
    </row>
    <row r="3" spans="1:41" ht="30.75" thickBot="1">
      <c r="A3" s="7" t="s">
        <v>187</v>
      </c>
      <c r="B3" s="16" t="s">
        <v>188</v>
      </c>
      <c r="C3" s="8">
        <v>9</v>
      </c>
      <c r="D3" s="8">
        <v>10</v>
      </c>
      <c r="E3" s="8">
        <v>0</v>
      </c>
      <c r="F3" s="1" t="s">
        <v>34</v>
      </c>
      <c r="G3" s="1" t="s">
        <v>34</v>
      </c>
      <c r="H3" s="8">
        <v>10</v>
      </c>
      <c r="I3" s="1" t="s">
        <v>34</v>
      </c>
      <c r="J3" s="1" t="s">
        <v>34</v>
      </c>
      <c r="K3" s="8" t="s">
        <v>43</v>
      </c>
      <c r="L3" s="1" t="s">
        <v>34</v>
      </c>
      <c r="M3" s="1" t="s">
        <v>34</v>
      </c>
      <c r="N3" s="8">
        <v>8</v>
      </c>
      <c r="O3" s="8">
        <v>0</v>
      </c>
      <c r="P3" s="1" t="s">
        <v>34</v>
      </c>
      <c r="Q3" s="1" t="s">
        <v>34</v>
      </c>
      <c r="R3" s="1" t="s">
        <v>34</v>
      </c>
      <c r="S3" s="8">
        <v>0</v>
      </c>
      <c r="T3" s="8">
        <v>0</v>
      </c>
      <c r="U3" s="5" t="s">
        <v>34</v>
      </c>
      <c r="V3" s="8">
        <v>5</v>
      </c>
      <c r="W3" s="8">
        <v>0</v>
      </c>
      <c r="X3" s="8" t="s">
        <v>53</v>
      </c>
      <c r="Y3" s="8" t="s">
        <v>189</v>
      </c>
      <c r="Z3" s="8" t="s">
        <v>190</v>
      </c>
      <c r="AA3" s="8" t="s">
        <v>191</v>
      </c>
      <c r="AB3" s="13">
        <v>4.09</v>
      </c>
      <c r="AC3" s="13">
        <v>3.04</v>
      </c>
      <c r="AD3" s="12">
        <v>4.79</v>
      </c>
      <c r="AE3" s="13">
        <v>3.97</v>
      </c>
      <c r="AF3" s="1"/>
      <c r="AG3" s="14">
        <f>(+AB3+AC3+AD3)/3</f>
        <v>3.9733333333333332</v>
      </c>
      <c r="AH3" s="1"/>
      <c r="AI3" s="1">
        <f t="shared" ref="AI3:AI40" si="0">+AG3*0.7</f>
        <v>2.781333333333333</v>
      </c>
      <c r="AJ3" s="1">
        <f t="shared" ref="AJ3:AJ40" si="1">+AE3*0.3</f>
        <v>1.1910000000000001</v>
      </c>
      <c r="AK3" s="1">
        <f t="shared" ref="AK3:AK42" si="2">+AI3+AJ3</f>
        <v>3.9723333333333333</v>
      </c>
      <c r="AL3" s="1"/>
      <c r="AM3" s="1"/>
      <c r="AN3" s="1"/>
      <c r="AO3" s="8" t="s">
        <v>192</v>
      </c>
    </row>
    <row r="4" spans="1:41" ht="15.75" thickBot="1">
      <c r="A4" s="11" t="s">
        <v>242</v>
      </c>
      <c r="B4" s="16" t="s">
        <v>243</v>
      </c>
      <c r="C4" s="8">
        <v>9</v>
      </c>
      <c r="D4" s="8">
        <v>10</v>
      </c>
      <c r="E4" s="8" t="s">
        <v>35</v>
      </c>
      <c r="F4" s="8" t="s">
        <v>35</v>
      </c>
      <c r="G4" s="8">
        <v>0</v>
      </c>
      <c r="H4" s="8">
        <v>10</v>
      </c>
      <c r="I4" s="8">
        <v>0</v>
      </c>
      <c r="J4" s="8">
        <v>0</v>
      </c>
      <c r="K4" s="8">
        <v>0</v>
      </c>
      <c r="L4" s="8">
        <v>0</v>
      </c>
      <c r="M4" s="8">
        <v>6</v>
      </c>
      <c r="N4" s="8">
        <v>10</v>
      </c>
      <c r="O4" s="8">
        <v>0</v>
      </c>
      <c r="P4" s="8">
        <v>10</v>
      </c>
      <c r="Q4" s="1" t="s">
        <v>34</v>
      </c>
      <c r="R4" s="1" t="s">
        <v>34</v>
      </c>
      <c r="S4" s="8">
        <v>0</v>
      </c>
      <c r="T4" s="8" t="s">
        <v>152</v>
      </c>
      <c r="U4" s="5" t="s">
        <v>34</v>
      </c>
      <c r="V4" s="8" t="s">
        <v>33</v>
      </c>
      <c r="W4" s="8">
        <v>0</v>
      </c>
      <c r="X4" s="8" t="s">
        <v>36</v>
      </c>
      <c r="Y4" s="8" t="s">
        <v>244</v>
      </c>
      <c r="Z4" s="8" t="s">
        <v>245</v>
      </c>
      <c r="AA4" s="8" t="s">
        <v>191</v>
      </c>
      <c r="AB4" s="12">
        <v>5.89</v>
      </c>
      <c r="AC4" s="13">
        <v>2.99</v>
      </c>
      <c r="AD4" s="13">
        <v>4.33</v>
      </c>
      <c r="AE4" s="13">
        <v>4.4000000000000004</v>
      </c>
      <c r="AF4" s="1"/>
      <c r="AG4" s="14">
        <f>(+AB4+AC4+AD4)/3</f>
        <v>4.4033333333333333</v>
      </c>
      <c r="AH4" s="1"/>
      <c r="AI4" s="1">
        <f t="shared" si="0"/>
        <v>3.0823333333333331</v>
      </c>
      <c r="AJ4" s="1">
        <f t="shared" si="1"/>
        <v>1.32</v>
      </c>
      <c r="AK4" s="1">
        <f t="shared" si="2"/>
        <v>4.402333333333333</v>
      </c>
      <c r="AL4" s="1"/>
      <c r="AM4" s="1"/>
      <c r="AN4" s="1"/>
      <c r="AO4" s="8" t="s">
        <v>246</v>
      </c>
    </row>
    <row r="5" spans="1:41" ht="44.25" thickBot="1">
      <c r="A5" s="7" t="s">
        <v>227</v>
      </c>
      <c r="B5" s="16" t="s">
        <v>228</v>
      </c>
      <c r="C5" s="1" t="s">
        <v>34</v>
      </c>
      <c r="D5" s="8">
        <v>10</v>
      </c>
      <c r="E5" s="8">
        <v>10</v>
      </c>
      <c r="F5" s="8">
        <v>10</v>
      </c>
      <c r="G5" s="8">
        <v>8</v>
      </c>
      <c r="H5" s="8">
        <v>10</v>
      </c>
      <c r="I5" s="8">
        <v>7</v>
      </c>
      <c r="J5" s="1" t="s">
        <v>34</v>
      </c>
      <c r="K5" s="8" t="s">
        <v>133</v>
      </c>
      <c r="L5" s="1" t="s">
        <v>34</v>
      </c>
      <c r="M5" s="1" t="s">
        <v>34</v>
      </c>
      <c r="N5" s="8">
        <v>5</v>
      </c>
      <c r="O5" s="8">
        <v>0</v>
      </c>
      <c r="P5" s="1" t="s">
        <v>34</v>
      </c>
      <c r="Q5" s="1" t="s">
        <v>34</v>
      </c>
      <c r="R5" s="1" t="s">
        <v>34</v>
      </c>
      <c r="S5" s="8">
        <v>0</v>
      </c>
      <c r="T5" s="8">
        <v>0</v>
      </c>
      <c r="U5" s="5" t="s">
        <v>34</v>
      </c>
      <c r="V5" s="8">
        <v>5</v>
      </c>
      <c r="W5" s="8">
        <v>0</v>
      </c>
      <c r="X5" s="8" t="s">
        <v>63</v>
      </c>
      <c r="Y5" s="8" t="s">
        <v>229</v>
      </c>
      <c r="Z5" s="8" t="s">
        <v>190</v>
      </c>
      <c r="AA5" s="8" t="s">
        <v>230</v>
      </c>
      <c r="AB5" s="13">
        <v>4.9000000000000004</v>
      </c>
      <c r="AC5" s="13">
        <v>2.62</v>
      </c>
      <c r="AD5" s="12">
        <v>6.24</v>
      </c>
      <c r="AE5" s="13">
        <v>4.58</v>
      </c>
      <c r="AF5" s="1"/>
      <c r="AG5" s="14">
        <f>(+AB5+AC5+AD5)/3</f>
        <v>4.5866666666666669</v>
      </c>
      <c r="AH5" s="1"/>
      <c r="AI5" s="1">
        <f t="shared" si="0"/>
        <v>3.2106666666666666</v>
      </c>
      <c r="AJ5" s="1">
        <f t="shared" si="1"/>
        <v>1.3739999999999999</v>
      </c>
      <c r="AK5" s="1">
        <f t="shared" si="2"/>
        <v>4.5846666666666662</v>
      </c>
      <c r="AL5" s="1"/>
      <c r="AM5" s="1"/>
      <c r="AN5" s="1"/>
      <c r="AO5" s="8" t="s">
        <v>231</v>
      </c>
    </row>
    <row r="6" spans="1:41" ht="45.75" thickBot="1">
      <c r="A6" s="7" t="s">
        <v>60</v>
      </c>
      <c r="B6" s="16" t="s">
        <v>61</v>
      </c>
      <c r="C6" s="8">
        <v>10</v>
      </c>
      <c r="D6" s="8">
        <v>10</v>
      </c>
      <c r="E6" s="8" t="s">
        <v>62</v>
      </c>
      <c r="F6" s="8">
        <v>10</v>
      </c>
      <c r="G6" s="8">
        <v>10</v>
      </c>
      <c r="H6" s="8">
        <v>10</v>
      </c>
      <c r="I6" s="8">
        <v>9</v>
      </c>
      <c r="J6" s="8">
        <v>0</v>
      </c>
      <c r="K6" s="8" t="s">
        <v>43</v>
      </c>
      <c r="L6" s="8">
        <v>0</v>
      </c>
      <c r="M6" s="8">
        <v>0</v>
      </c>
      <c r="N6" s="8" t="s">
        <v>44</v>
      </c>
      <c r="O6" s="8">
        <v>0</v>
      </c>
      <c r="P6" s="8" t="s">
        <v>44</v>
      </c>
      <c r="Q6" s="8">
        <v>0</v>
      </c>
      <c r="R6" s="8">
        <v>0</v>
      </c>
      <c r="S6" s="8">
        <v>0</v>
      </c>
      <c r="T6" s="8">
        <v>0</v>
      </c>
      <c r="U6" s="5" t="s">
        <v>34</v>
      </c>
      <c r="V6" s="8">
        <v>2</v>
      </c>
      <c r="W6" s="8">
        <v>2</v>
      </c>
      <c r="X6" s="8" t="s">
        <v>63</v>
      </c>
      <c r="Y6" s="8" t="s">
        <v>64</v>
      </c>
      <c r="Z6" s="8" t="s">
        <v>65</v>
      </c>
      <c r="AA6" s="8" t="s">
        <v>66</v>
      </c>
      <c r="AB6" s="12">
        <v>6.56</v>
      </c>
      <c r="AC6" s="13">
        <v>2.5</v>
      </c>
      <c r="AD6" s="12">
        <v>6.7</v>
      </c>
      <c r="AE6" s="13">
        <v>5.25</v>
      </c>
      <c r="AF6" s="1"/>
      <c r="AG6" s="14">
        <f>(+AB6+AC6+AD6)/3</f>
        <v>5.253333333333333</v>
      </c>
      <c r="AH6" s="1"/>
      <c r="AI6" s="1">
        <f t="shared" si="0"/>
        <v>3.6773333333333329</v>
      </c>
      <c r="AJ6" s="1">
        <f t="shared" si="1"/>
        <v>1.575</v>
      </c>
      <c r="AK6" s="1">
        <f t="shared" si="2"/>
        <v>5.2523333333333326</v>
      </c>
      <c r="AL6" s="1"/>
      <c r="AM6" s="1"/>
      <c r="AN6" s="1"/>
      <c r="AO6" s="8" t="s">
        <v>67</v>
      </c>
    </row>
    <row r="7" spans="1:41" ht="44.25" thickBot="1">
      <c r="A7" s="7" t="s">
        <v>74</v>
      </c>
      <c r="B7" s="16" t="s">
        <v>75</v>
      </c>
      <c r="C7" s="8">
        <v>9</v>
      </c>
      <c r="D7" s="8">
        <v>10</v>
      </c>
      <c r="E7" s="8">
        <v>9</v>
      </c>
      <c r="F7" s="8">
        <v>10</v>
      </c>
      <c r="G7" s="8">
        <v>9</v>
      </c>
      <c r="H7" s="8">
        <v>10</v>
      </c>
      <c r="I7" s="8">
        <v>8</v>
      </c>
      <c r="J7" s="8">
        <v>0</v>
      </c>
      <c r="K7" s="8" t="s">
        <v>37</v>
      </c>
      <c r="L7" s="8">
        <v>0</v>
      </c>
      <c r="M7" s="8">
        <v>0</v>
      </c>
      <c r="N7" s="8">
        <v>8</v>
      </c>
      <c r="O7" s="8" t="s">
        <v>76</v>
      </c>
      <c r="P7" s="8" t="s">
        <v>44</v>
      </c>
      <c r="Q7" s="8">
        <v>0</v>
      </c>
      <c r="R7" s="8">
        <v>0</v>
      </c>
      <c r="S7" s="8">
        <v>0</v>
      </c>
      <c r="T7" s="8">
        <v>0</v>
      </c>
      <c r="U7" s="5" t="s">
        <v>34</v>
      </c>
      <c r="V7" s="8">
        <v>8</v>
      </c>
      <c r="W7" s="1" t="s">
        <v>34</v>
      </c>
      <c r="X7" s="8" t="s">
        <v>36</v>
      </c>
      <c r="Y7" s="8" t="s">
        <v>77</v>
      </c>
      <c r="Z7" s="8" t="s">
        <v>78</v>
      </c>
      <c r="AA7" s="8" t="s">
        <v>79</v>
      </c>
      <c r="AB7" s="12">
        <v>6.45</v>
      </c>
      <c r="AC7" s="13">
        <v>2.93</v>
      </c>
      <c r="AD7" s="13">
        <v>6.43</v>
      </c>
      <c r="AE7" s="13">
        <v>5.27</v>
      </c>
      <c r="AF7" s="1"/>
      <c r="AG7" s="14">
        <f>(+AB7+AC7+AD7)/3</f>
        <v>5.2700000000000005</v>
      </c>
      <c r="AH7" s="1"/>
      <c r="AI7" s="1">
        <f t="shared" si="0"/>
        <v>3.6890000000000001</v>
      </c>
      <c r="AJ7" s="1">
        <f t="shared" si="1"/>
        <v>1.5809999999999997</v>
      </c>
      <c r="AK7" s="1">
        <f t="shared" si="2"/>
        <v>5.27</v>
      </c>
      <c r="AL7" s="1"/>
      <c r="AM7" s="1"/>
      <c r="AN7" s="1"/>
      <c r="AO7" s="8" t="s">
        <v>80</v>
      </c>
    </row>
    <row r="8" spans="1:41" ht="30" thickBot="1">
      <c r="A8" s="7" t="s">
        <v>86</v>
      </c>
      <c r="B8" s="16" t="s">
        <v>87</v>
      </c>
      <c r="C8" s="8">
        <v>9</v>
      </c>
      <c r="D8" s="8">
        <v>10</v>
      </c>
      <c r="E8" s="8">
        <v>10</v>
      </c>
      <c r="F8" s="1" t="s">
        <v>34</v>
      </c>
      <c r="G8" s="8">
        <v>6</v>
      </c>
      <c r="H8" s="8">
        <v>10</v>
      </c>
      <c r="I8" s="1" t="s">
        <v>34</v>
      </c>
      <c r="J8" s="1" t="s">
        <v>34</v>
      </c>
      <c r="K8" s="8" t="s">
        <v>43</v>
      </c>
      <c r="L8" s="8">
        <v>10</v>
      </c>
      <c r="M8" s="1" t="s">
        <v>34</v>
      </c>
      <c r="N8" s="8">
        <v>10</v>
      </c>
      <c r="O8" s="8">
        <v>0</v>
      </c>
      <c r="P8" s="1" t="s">
        <v>34</v>
      </c>
      <c r="Q8" s="1" t="s">
        <v>34</v>
      </c>
      <c r="R8" s="8">
        <v>8</v>
      </c>
      <c r="S8" s="8">
        <v>0</v>
      </c>
      <c r="T8" s="8">
        <v>0</v>
      </c>
      <c r="U8" s="5" t="s">
        <v>34</v>
      </c>
      <c r="V8" s="8" t="s">
        <v>37</v>
      </c>
      <c r="W8" s="8">
        <v>8</v>
      </c>
      <c r="X8" s="8" t="s">
        <v>45</v>
      </c>
      <c r="Y8" s="8" t="s">
        <v>88</v>
      </c>
      <c r="Z8" s="8" t="s">
        <v>89</v>
      </c>
      <c r="AA8" s="8" t="s">
        <v>56</v>
      </c>
      <c r="AB8" s="13">
        <v>4.63</v>
      </c>
      <c r="AC8" s="12">
        <v>6.01</v>
      </c>
      <c r="AD8" s="13">
        <v>5.96</v>
      </c>
      <c r="AE8" s="13">
        <v>5.53</v>
      </c>
      <c r="AF8" s="1"/>
      <c r="AG8" s="14">
        <f>(+AB8+AC8+AD8)/3</f>
        <v>5.5333333333333341</v>
      </c>
      <c r="AH8" s="1"/>
      <c r="AI8" s="1">
        <f t="shared" si="0"/>
        <v>3.8733333333333335</v>
      </c>
      <c r="AJ8" s="1">
        <f t="shared" si="1"/>
        <v>1.659</v>
      </c>
      <c r="AK8" s="1">
        <f t="shared" si="2"/>
        <v>5.5323333333333338</v>
      </c>
      <c r="AL8" s="1"/>
      <c r="AM8" s="1"/>
      <c r="AN8" s="1"/>
      <c r="AO8" s="8" t="s">
        <v>90</v>
      </c>
    </row>
    <row r="9" spans="1:41" ht="30" thickBot="1">
      <c r="A9" s="7" t="s">
        <v>68</v>
      </c>
      <c r="B9" s="16" t="s">
        <v>69</v>
      </c>
      <c r="C9" s="8">
        <v>10</v>
      </c>
      <c r="D9" s="8">
        <v>10</v>
      </c>
      <c r="E9" s="8" t="s">
        <v>62</v>
      </c>
      <c r="F9" s="8">
        <v>10</v>
      </c>
      <c r="G9" s="8">
        <v>8</v>
      </c>
      <c r="H9" s="8">
        <v>10</v>
      </c>
      <c r="I9" s="8">
        <v>6</v>
      </c>
      <c r="J9" s="8">
        <v>8</v>
      </c>
      <c r="K9" s="1" t="s">
        <v>34</v>
      </c>
      <c r="L9" s="1" t="s">
        <v>34</v>
      </c>
      <c r="M9" s="8">
        <v>10</v>
      </c>
      <c r="N9" s="8">
        <v>7</v>
      </c>
      <c r="O9" s="8">
        <v>0</v>
      </c>
      <c r="P9" s="1" t="s">
        <v>34</v>
      </c>
      <c r="Q9" s="1" t="s">
        <v>34</v>
      </c>
      <c r="R9" s="1" t="s">
        <v>34</v>
      </c>
      <c r="S9" s="8">
        <v>0</v>
      </c>
      <c r="T9" s="8">
        <v>10</v>
      </c>
      <c r="U9" s="5" t="s">
        <v>34</v>
      </c>
      <c r="V9" s="8">
        <v>2</v>
      </c>
      <c r="W9" s="8">
        <v>4</v>
      </c>
      <c r="X9" s="8" t="s">
        <v>70</v>
      </c>
      <c r="Y9" s="8" t="s">
        <v>57</v>
      </c>
      <c r="Z9" s="8" t="s">
        <v>71</v>
      </c>
      <c r="AA9" s="8" t="s">
        <v>72</v>
      </c>
      <c r="AB9" s="13">
        <v>6.18</v>
      </c>
      <c r="AC9" s="13">
        <v>2.5499999999999998</v>
      </c>
      <c r="AD9" s="12">
        <v>7.92</v>
      </c>
      <c r="AE9" s="13">
        <v>5.55</v>
      </c>
      <c r="AF9" s="1"/>
      <c r="AG9" s="14">
        <f>(+AB9+AC9+AD9)/3</f>
        <v>5.55</v>
      </c>
      <c r="AH9" s="1"/>
      <c r="AI9" s="1">
        <f t="shared" si="0"/>
        <v>3.8849999999999998</v>
      </c>
      <c r="AJ9" s="1">
        <f t="shared" si="1"/>
        <v>1.6649999999999998</v>
      </c>
      <c r="AK9" s="1">
        <f t="shared" si="2"/>
        <v>5.55</v>
      </c>
      <c r="AL9" s="1"/>
      <c r="AM9" s="1"/>
      <c r="AN9" s="1"/>
      <c r="AO9" s="8" t="s">
        <v>73</v>
      </c>
    </row>
    <row r="10" spans="1:41" ht="30.75" thickBot="1">
      <c r="A10" s="7" t="s">
        <v>222</v>
      </c>
      <c r="B10" s="16" t="s">
        <v>223</v>
      </c>
      <c r="C10" s="8">
        <v>10</v>
      </c>
      <c r="D10" s="8">
        <v>10</v>
      </c>
      <c r="E10" s="8">
        <v>10</v>
      </c>
      <c r="F10" s="8">
        <v>10</v>
      </c>
      <c r="G10" s="8">
        <v>8</v>
      </c>
      <c r="H10" s="8">
        <v>10</v>
      </c>
      <c r="I10" s="8" t="s">
        <v>35</v>
      </c>
      <c r="J10" s="8">
        <v>5</v>
      </c>
      <c r="K10" s="8" t="s">
        <v>43</v>
      </c>
      <c r="L10" s="8">
        <v>10</v>
      </c>
      <c r="M10" s="1" t="s">
        <v>34</v>
      </c>
      <c r="N10" s="8">
        <v>7</v>
      </c>
      <c r="O10" s="8">
        <v>0</v>
      </c>
      <c r="P10" s="8" t="s">
        <v>35</v>
      </c>
      <c r="Q10" s="1" t="s">
        <v>34</v>
      </c>
      <c r="R10" s="1" t="s">
        <v>34</v>
      </c>
      <c r="S10" s="8">
        <v>0</v>
      </c>
      <c r="T10" s="8">
        <v>0</v>
      </c>
      <c r="U10" s="5" t="s">
        <v>34</v>
      </c>
      <c r="V10" s="8">
        <v>8</v>
      </c>
      <c r="W10" s="8">
        <v>0</v>
      </c>
      <c r="X10" s="8" t="s">
        <v>70</v>
      </c>
      <c r="Y10" s="8" t="s">
        <v>224</v>
      </c>
      <c r="Z10" s="8" t="s">
        <v>134</v>
      </c>
      <c r="AA10" s="8" t="s">
        <v>225</v>
      </c>
      <c r="AB10" s="12">
        <v>6.59</v>
      </c>
      <c r="AC10" s="13">
        <v>3.95</v>
      </c>
      <c r="AD10" s="12">
        <v>7.22</v>
      </c>
      <c r="AE10" s="13">
        <v>5.92</v>
      </c>
      <c r="AF10" s="1"/>
      <c r="AG10" s="14">
        <f>(+AB10+AC10+AD10)/3</f>
        <v>5.919999999999999</v>
      </c>
      <c r="AH10" s="1"/>
      <c r="AI10" s="1">
        <f t="shared" si="0"/>
        <v>4.1439999999999992</v>
      </c>
      <c r="AJ10" s="1">
        <f t="shared" si="1"/>
        <v>1.776</v>
      </c>
      <c r="AK10" s="1">
        <f t="shared" si="2"/>
        <v>5.919999999999999</v>
      </c>
      <c r="AL10" s="1"/>
      <c r="AM10" s="1"/>
      <c r="AN10" s="1"/>
      <c r="AO10" s="8" t="s">
        <v>226</v>
      </c>
    </row>
    <row r="11" spans="1:41" ht="30.75" thickBot="1">
      <c r="A11" s="7" t="s">
        <v>216</v>
      </c>
      <c r="B11" s="16" t="s">
        <v>217</v>
      </c>
      <c r="C11" s="8">
        <v>10</v>
      </c>
      <c r="D11" s="8">
        <v>10</v>
      </c>
      <c r="E11" s="8" t="s">
        <v>218</v>
      </c>
      <c r="F11" s="8">
        <v>10</v>
      </c>
      <c r="G11" s="8">
        <v>10</v>
      </c>
      <c r="H11" s="8">
        <v>10</v>
      </c>
      <c r="I11" s="1" t="s">
        <v>34</v>
      </c>
      <c r="J11" s="8">
        <v>7</v>
      </c>
      <c r="K11" s="8" t="s">
        <v>133</v>
      </c>
      <c r="L11" s="8">
        <v>9</v>
      </c>
      <c r="M11" s="1" t="s">
        <v>34</v>
      </c>
      <c r="N11" s="8">
        <v>7</v>
      </c>
      <c r="O11" s="8">
        <v>0</v>
      </c>
      <c r="P11" s="1" t="s">
        <v>34</v>
      </c>
      <c r="Q11" s="1" t="s">
        <v>34</v>
      </c>
      <c r="R11" s="1" t="s">
        <v>34</v>
      </c>
      <c r="S11" s="8">
        <v>0</v>
      </c>
      <c r="T11" s="8">
        <v>10</v>
      </c>
      <c r="U11" s="5" t="s">
        <v>34</v>
      </c>
      <c r="V11" s="8" t="s">
        <v>33</v>
      </c>
      <c r="W11" s="8">
        <v>8</v>
      </c>
      <c r="X11" s="8" t="s">
        <v>70</v>
      </c>
      <c r="Y11" s="8" t="s">
        <v>219</v>
      </c>
      <c r="Z11" s="8" t="s">
        <v>220</v>
      </c>
      <c r="AA11" s="8" t="s">
        <v>157</v>
      </c>
      <c r="AB11" s="13">
        <v>5.71</v>
      </c>
      <c r="AC11" s="13">
        <v>4.83</v>
      </c>
      <c r="AD11" s="12">
        <v>8.15</v>
      </c>
      <c r="AE11" s="13">
        <v>6.23</v>
      </c>
      <c r="AF11" s="1"/>
      <c r="AG11" s="17">
        <f>(+AB11+AC11+AD11)/3</f>
        <v>6.2299999999999995</v>
      </c>
      <c r="AH11" s="1"/>
      <c r="AI11" s="1">
        <f t="shared" si="0"/>
        <v>4.3609999999999998</v>
      </c>
      <c r="AJ11" s="1">
        <f t="shared" si="1"/>
        <v>1.869</v>
      </c>
      <c r="AK11" s="1">
        <f t="shared" si="2"/>
        <v>6.2299999999999995</v>
      </c>
      <c r="AL11" s="1"/>
      <c r="AM11" s="1"/>
      <c r="AN11" s="1"/>
      <c r="AO11" s="8" t="s">
        <v>221</v>
      </c>
    </row>
    <row r="12" spans="1:41" ht="30.75" thickBot="1">
      <c r="A12" s="7" t="s">
        <v>31</v>
      </c>
      <c r="B12" s="16" t="s">
        <v>32</v>
      </c>
      <c r="C12" s="8">
        <v>9</v>
      </c>
      <c r="D12" s="8">
        <v>10</v>
      </c>
      <c r="E12" s="8" t="s">
        <v>33</v>
      </c>
      <c r="F12" s="8">
        <v>10</v>
      </c>
      <c r="G12" s="8">
        <v>10</v>
      </c>
      <c r="H12" s="8">
        <v>10</v>
      </c>
      <c r="I12" s="8">
        <v>0</v>
      </c>
      <c r="J12" s="8">
        <v>9</v>
      </c>
      <c r="K12" s="8">
        <v>13</v>
      </c>
      <c r="L12" s="1" t="s">
        <v>34</v>
      </c>
      <c r="M12" s="1" t="s">
        <v>34</v>
      </c>
      <c r="N12" s="8">
        <v>8</v>
      </c>
      <c r="O12" s="8" t="s">
        <v>35</v>
      </c>
      <c r="P12" s="8" t="s">
        <v>33</v>
      </c>
      <c r="Q12" s="1" t="s">
        <v>34</v>
      </c>
      <c r="R12" s="8">
        <v>8</v>
      </c>
      <c r="S12" s="8">
        <v>5</v>
      </c>
      <c r="T12" s="8">
        <v>0</v>
      </c>
      <c r="U12" s="5" t="s">
        <v>34</v>
      </c>
      <c r="V12" s="8">
        <v>2</v>
      </c>
      <c r="W12" s="8">
        <v>0</v>
      </c>
      <c r="X12" s="8" t="s">
        <v>36</v>
      </c>
      <c r="Y12" s="8" t="s">
        <v>37</v>
      </c>
      <c r="Z12" s="8" t="s">
        <v>38</v>
      </c>
      <c r="AA12" s="8" t="s">
        <v>39</v>
      </c>
      <c r="AB12" s="12">
        <v>6.55</v>
      </c>
      <c r="AC12" s="13">
        <v>3.75</v>
      </c>
      <c r="AD12" s="12">
        <v>8.76</v>
      </c>
      <c r="AE12" s="13">
        <v>6.35</v>
      </c>
      <c r="AF12" s="1"/>
      <c r="AG12" s="17">
        <f>(+AB12+AC12+AD12)/3</f>
        <v>6.3533333333333344</v>
      </c>
      <c r="AH12" s="1"/>
      <c r="AI12" s="1">
        <f t="shared" si="0"/>
        <v>4.4473333333333338</v>
      </c>
      <c r="AJ12" s="1">
        <f t="shared" si="1"/>
        <v>1.9049999999999998</v>
      </c>
      <c r="AK12" s="1">
        <f t="shared" si="2"/>
        <v>6.3523333333333341</v>
      </c>
      <c r="AL12" s="1"/>
      <c r="AM12" s="1"/>
      <c r="AN12" s="1"/>
      <c r="AO12" s="8" t="s">
        <v>40</v>
      </c>
    </row>
    <row r="13" spans="1:41" ht="30.75" thickBot="1">
      <c r="A13" s="7" t="s">
        <v>131</v>
      </c>
      <c r="B13" s="16" t="s">
        <v>132</v>
      </c>
      <c r="C13" s="8" t="s">
        <v>52</v>
      </c>
      <c r="D13" s="8">
        <v>10</v>
      </c>
      <c r="E13" s="8" t="s">
        <v>35</v>
      </c>
      <c r="F13" s="8">
        <v>10</v>
      </c>
      <c r="G13" s="1" t="s">
        <v>34</v>
      </c>
      <c r="H13" s="8">
        <v>10</v>
      </c>
      <c r="I13" s="1" t="s">
        <v>34</v>
      </c>
      <c r="J13" s="8">
        <v>9</v>
      </c>
      <c r="K13" s="8" t="s">
        <v>133</v>
      </c>
      <c r="L13" s="8">
        <v>10</v>
      </c>
      <c r="M13" s="8" t="s">
        <v>33</v>
      </c>
      <c r="N13" s="8">
        <v>10</v>
      </c>
      <c r="O13" s="8">
        <v>10</v>
      </c>
      <c r="P13" s="1" t="s">
        <v>34</v>
      </c>
      <c r="Q13" s="1" t="s">
        <v>34</v>
      </c>
      <c r="R13" s="1" t="s">
        <v>34</v>
      </c>
      <c r="S13" s="8">
        <v>0</v>
      </c>
      <c r="T13" s="8">
        <v>0</v>
      </c>
      <c r="U13" s="5" t="s">
        <v>34</v>
      </c>
      <c r="V13" s="8">
        <v>8</v>
      </c>
      <c r="W13" s="8">
        <v>0</v>
      </c>
      <c r="X13" s="8" t="s">
        <v>93</v>
      </c>
      <c r="Y13" s="8" t="s">
        <v>58</v>
      </c>
      <c r="Z13" s="8" t="s">
        <v>134</v>
      </c>
      <c r="AA13" s="8" t="s">
        <v>79</v>
      </c>
      <c r="AB13" s="12">
        <v>7.17</v>
      </c>
      <c r="AC13" s="13">
        <v>4.79</v>
      </c>
      <c r="AD13" s="12">
        <v>7.12</v>
      </c>
      <c r="AE13" s="13">
        <v>6.36</v>
      </c>
      <c r="AF13" s="1"/>
      <c r="AG13" s="17">
        <f>(+AB13+AC13+AD13)/3</f>
        <v>6.36</v>
      </c>
      <c r="AH13" s="1"/>
      <c r="AI13" s="1">
        <f t="shared" si="0"/>
        <v>4.452</v>
      </c>
      <c r="AJ13" s="1">
        <f t="shared" si="1"/>
        <v>1.9079999999999999</v>
      </c>
      <c r="AK13" s="1">
        <f t="shared" si="2"/>
        <v>6.3599999999999994</v>
      </c>
      <c r="AL13" s="1"/>
      <c r="AM13" s="1"/>
      <c r="AN13" s="1"/>
      <c r="AO13" s="8" t="s">
        <v>135</v>
      </c>
    </row>
    <row r="14" spans="1:41" ht="30" thickBot="1">
      <c r="A14" s="7" t="s">
        <v>50</v>
      </c>
      <c r="B14" s="16" t="s">
        <v>51</v>
      </c>
      <c r="C14" s="8">
        <v>10</v>
      </c>
      <c r="D14" s="8">
        <v>0</v>
      </c>
      <c r="E14" s="8" t="s">
        <v>35</v>
      </c>
      <c r="F14" s="8">
        <v>10</v>
      </c>
      <c r="G14" s="8">
        <v>8</v>
      </c>
      <c r="H14" s="8">
        <v>10</v>
      </c>
      <c r="I14" s="8">
        <v>7</v>
      </c>
      <c r="J14" s="8">
        <v>8</v>
      </c>
      <c r="K14" s="1" t="s">
        <v>34</v>
      </c>
      <c r="L14" s="8" t="s">
        <v>52</v>
      </c>
      <c r="M14" s="8">
        <v>6</v>
      </c>
      <c r="N14" s="8" t="s">
        <v>44</v>
      </c>
      <c r="O14" s="8">
        <v>0</v>
      </c>
      <c r="P14" s="8">
        <v>8</v>
      </c>
      <c r="Q14" s="8">
        <v>3</v>
      </c>
      <c r="R14" s="8">
        <v>8</v>
      </c>
      <c r="S14" s="8">
        <v>0</v>
      </c>
      <c r="T14" s="8">
        <v>10</v>
      </c>
      <c r="U14" s="5" t="s">
        <v>34</v>
      </c>
      <c r="V14" s="8">
        <v>8</v>
      </c>
      <c r="W14" s="8">
        <v>0</v>
      </c>
      <c r="X14" s="8" t="s">
        <v>53</v>
      </c>
      <c r="Y14" s="8" t="s">
        <v>54</v>
      </c>
      <c r="Z14" s="8" t="s">
        <v>55</v>
      </c>
      <c r="AA14" s="8" t="s">
        <v>56</v>
      </c>
      <c r="AB14" s="12">
        <v>7.17</v>
      </c>
      <c r="AC14" s="13">
        <v>5.82</v>
      </c>
      <c r="AD14" s="13">
        <v>6.19</v>
      </c>
      <c r="AE14" s="13">
        <v>6.39</v>
      </c>
      <c r="AF14" s="1"/>
      <c r="AG14" s="17">
        <f>(+AB14+AC14+AD14)/3</f>
        <v>6.3933333333333335</v>
      </c>
      <c r="AH14" s="1"/>
      <c r="AI14" s="1">
        <f t="shared" si="0"/>
        <v>4.4753333333333334</v>
      </c>
      <c r="AJ14" s="1">
        <f t="shared" si="1"/>
        <v>1.9169999999999998</v>
      </c>
      <c r="AK14" s="1">
        <f t="shared" si="2"/>
        <v>6.3923333333333332</v>
      </c>
      <c r="AL14" s="1"/>
      <c r="AM14" s="1"/>
      <c r="AN14" s="1"/>
      <c r="AO14" s="8" t="s">
        <v>59</v>
      </c>
    </row>
    <row r="15" spans="1:41" ht="44.25" thickBot="1">
      <c r="A15" s="7" t="s">
        <v>174</v>
      </c>
      <c r="B15" s="16" t="s">
        <v>175</v>
      </c>
      <c r="C15" s="8">
        <v>10</v>
      </c>
      <c r="D15" s="8">
        <v>10</v>
      </c>
      <c r="E15" s="8">
        <v>10</v>
      </c>
      <c r="F15" s="8">
        <v>10</v>
      </c>
      <c r="G15" s="8">
        <v>6</v>
      </c>
      <c r="H15" s="8">
        <v>10</v>
      </c>
      <c r="I15" s="8">
        <v>10</v>
      </c>
      <c r="J15" s="8">
        <v>9</v>
      </c>
      <c r="K15" s="8" t="s">
        <v>37</v>
      </c>
      <c r="L15" s="8">
        <v>10</v>
      </c>
      <c r="M15" s="8">
        <v>7</v>
      </c>
      <c r="N15" s="8">
        <v>5</v>
      </c>
      <c r="O15" s="8">
        <v>0</v>
      </c>
      <c r="P15" s="1" t="s">
        <v>34</v>
      </c>
      <c r="Q15" s="1" t="s">
        <v>34</v>
      </c>
      <c r="R15" s="8">
        <v>10</v>
      </c>
      <c r="S15" s="8">
        <v>0</v>
      </c>
      <c r="T15" s="8">
        <v>10</v>
      </c>
      <c r="U15" s="5" t="s">
        <v>34</v>
      </c>
      <c r="V15" s="8">
        <v>2</v>
      </c>
      <c r="W15" s="8">
        <v>2</v>
      </c>
      <c r="X15" s="8" t="s">
        <v>63</v>
      </c>
      <c r="Y15" s="8" t="s">
        <v>176</v>
      </c>
      <c r="Z15" s="8" t="s">
        <v>177</v>
      </c>
      <c r="AA15" s="8" t="s">
        <v>178</v>
      </c>
      <c r="AB15" s="12">
        <v>6.98</v>
      </c>
      <c r="AC15" s="13">
        <v>4.84</v>
      </c>
      <c r="AD15" s="12">
        <v>7.87</v>
      </c>
      <c r="AE15" s="13">
        <v>6.56</v>
      </c>
      <c r="AF15" s="1"/>
      <c r="AG15" s="17">
        <f>(+AB15+AC15+AD15)/3</f>
        <v>6.5633333333333335</v>
      </c>
      <c r="AH15" s="1"/>
      <c r="AI15" s="1">
        <f t="shared" si="0"/>
        <v>4.5943333333333332</v>
      </c>
      <c r="AJ15" s="1">
        <f t="shared" si="1"/>
        <v>1.9679999999999997</v>
      </c>
      <c r="AK15" s="1">
        <f t="shared" si="2"/>
        <v>6.5623333333333331</v>
      </c>
      <c r="AL15" s="1"/>
      <c r="AM15" s="1"/>
      <c r="AN15" s="1"/>
      <c r="AO15" s="8" t="s">
        <v>121</v>
      </c>
    </row>
    <row r="16" spans="1:41" ht="30.75" thickBot="1">
      <c r="A16" s="7" t="s">
        <v>136</v>
      </c>
      <c r="B16" s="16" t="s">
        <v>137</v>
      </c>
      <c r="C16" s="8">
        <v>10</v>
      </c>
      <c r="D16" s="8">
        <v>10</v>
      </c>
      <c r="E16" s="8" t="s">
        <v>62</v>
      </c>
      <c r="F16" s="8">
        <v>10</v>
      </c>
      <c r="G16" s="8">
        <v>10</v>
      </c>
      <c r="H16" s="8">
        <v>10</v>
      </c>
      <c r="I16" s="8">
        <v>8</v>
      </c>
      <c r="J16" s="8">
        <v>9</v>
      </c>
      <c r="K16" s="8">
        <v>13</v>
      </c>
      <c r="L16" s="1" t="s">
        <v>34</v>
      </c>
      <c r="M16" s="8">
        <v>9</v>
      </c>
      <c r="N16" s="8">
        <v>7</v>
      </c>
      <c r="O16" s="8">
        <v>10</v>
      </c>
      <c r="P16" s="1" t="s">
        <v>34</v>
      </c>
      <c r="Q16" s="1" t="s">
        <v>34</v>
      </c>
      <c r="R16" s="1" t="s">
        <v>34</v>
      </c>
      <c r="S16" s="8">
        <v>10</v>
      </c>
      <c r="T16" s="8">
        <v>10</v>
      </c>
      <c r="U16" s="5" t="s">
        <v>34</v>
      </c>
      <c r="V16" s="8">
        <v>2</v>
      </c>
      <c r="W16" s="1" t="s">
        <v>34</v>
      </c>
      <c r="X16" s="8" t="s">
        <v>70</v>
      </c>
      <c r="Y16" s="8" t="s">
        <v>138</v>
      </c>
      <c r="Z16" s="8" t="s">
        <v>139</v>
      </c>
      <c r="AA16" s="8" t="s">
        <v>39</v>
      </c>
      <c r="AB16" s="12">
        <v>8.0500000000000007</v>
      </c>
      <c r="AC16" s="13">
        <v>3.25</v>
      </c>
      <c r="AD16" s="12">
        <v>8.6199999999999992</v>
      </c>
      <c r="AE16" s="13">
        <v>6.64</v>
      </c>
      <c r="AF16" s="1"/>
      <c r="AG16" s="17">
        <f>(+AB16+AC16+AD16)/3</f>
        <v>6.6400000000000006</v>
      </c>
      <c r="AH16" s="1"/>
      <c r="AI16" s="1">
        <f t="shared" si="0"/>
        <v>4.6479999999999997</v>
      </c>
      <c r="AJ16" s="1">
        <f t="shared" si="1"/>
        <v>1.9919999999999998</v>
      </c>
      <c r="AK16" s="1">
        <f t="shared" si="2"/>
        <v>6.64</v>
      </c>
      <c r="AL16" s="1"/>
      <c r="AM16" s="1"/>
      <c r="AN16" s="1"/>
      <c r="AO16" s="8" t="s">
        <v>140</v>
      </c>
    </row>
    <row r="17" spans="1:41" ht="44.25" thickBot="1">
      <c r="A17" s="7" t="s">
        <v>117</v>
      </c>
      <c r="B17" s="1" t="s">
        <v>118</v>
      </c>
      <c r="C17" s="8">
        <v>10</v>
      </c>
      <c r="D17" s="8">
        <v>10</v>
      </c>
      <c r="E17" s="8">
        <v>10</v>
      </c>
      <c r="F17" s="8">
        <v>10</v>
      </c>
      <c r="G17" s="8">
        <v>6</v>
      </c>
      <c r="H17" s="8">
        <v>10</v>
      </c>
      <c r="I17" s="8">
        <v>5</v>
      </c>
      <c r="J17" s="8">
        <v>8</v>
      </c>
      <c r="K17" s="8">
        <v>13</v>
      </c>
      <c r="L17" s="8" t="s">
        <v>35</v>
      </c>
      <c r="M17" s="1" t="s">
        <v>34</v>
      </c>
      <c r="N17" s="8">
        <v>5</v>
      </c>
      <c r="O17" s="8">
        <v>0</v>
      </c>
      <c r="P17" s="8" t="s">
        <v>33</v>
      </c>
      <c r="Q17" s="8">
        <v>10</v>
      </c>
      <c r="R17" s="8" t="s">
        <v>33</v>
      </c>
      <c r="S17" s="8">
        <v>0</v>
      </c>
      <c r="T17" s="8">
        <v>0</v>
      </c>
      <c r="U17" s="5" t="s">
        <v>34</v>
      </c>
      <c r="V17" s="8">
        <v>8</v>
      </c>
      <c r="W17" s="8">
        <v>9</v>
      </c>
      <c r="X17" s="8" t="s">
        <v>63</v>
      </c>
      <c r="Y17" s="8" t="s">
        <v>119</v>
      </c>
      <c r="Z17" s="8" t="s">
        <v>120</v>
      </c>
      <c r="AA17" s="8" t="s">
        <v>48</v>
      </c>
      <c r="AB17" s="13">
        <v>6.43</v>
      </c>
      <c r="AC17" s="12">
        <v>7.29</v>
      </c>
      <c r="AD17" s="12">
        <v>7.64</v>
      </c>
      <c r="AE17" s="13">
        <v>7.12</v>
      </c>
      <c r="AF17" s="1"/>
      <c r="AG17" s="14">
        <f>(+AB17+AC17+AD17)/3</f>
        <v>7.12</v>
      </c>
      <c r="AH17" s="1"/>
      <c r="AI17" s="1">
        <f t="shared" si="0"/>
        <v>4.984</v>
      </c>
      <c r="AJ17" s="1">
        <f t="shared" si="1"/>
        <v>2.1360000000000001</v>
      </c>
      <c r="AK17" s="1">
        <f t="shared" si="2"/>
        <v>7.12</v>
      </c>
      <c r="AL17" s="1"/>
      <c r="AM17" s="1"/>
      <c r="AN17" s="1"/>
      <c r="AO17" s="8" t="s">
        <v>121</v>
      </c>
    </row>
    <row r="18" spans="1:41" ht="30" thickBot="1">
      <c r="A18" s="9" t="s">
        <v>197</v>
      </c>
      <c r="B18" s="1" t="s">
        <v>198</v>
      </c>
      <c r="C18" s="8">
        <v>10</v>
      </c>
      <c r="D18" s="8">
        <v>10</v>
      </c>
      <c r="E18" s="8" t="s">
        <v>35</v>
      </c>
      <c r="F18" s="8">
        <v>10</v>
      </c>
      <c r="G18" s="8">
        <v>8</v>
      </c>
      <c r="H18" s="8">
        <v>10</v>
      </c>
      <c r="I18" s="8">
        <v>7</v>
      </c>
      <c r="J18" s="8">
        <v>8</v>
      </c>
      <c r="K18" s="8" t="s">
        <v>107</v>
      </c>
      <c r="L18" s="1" t="s">
        <v>34</v>
      </c>
      <c r="M18" s="8" t="s">
        <v>37</v>
      </c>
      <c r="N18" s="8">
        <v>8</v>
      </c>
      <c r="O18" s="8" t="s">
        <v>199</v>
      </c>
      <c r="P18" s="8" t="s">
        <v>33</v>
      </c>
      <c r="Q18" s="1" t="s">
        <v>34</v>
      </c>
      <c r="R18" s="8">
        <v>10</v>
      </c>
      <c r="S18" s="8">
        <v>10</v>
      </c>
      <c r="T18" s="8">
        <v>10</v>
      </c>
      <c r="U18" s="5" t="s">
        <v>34</v>
      </c>
      <c r="V18" s="8" t="s">
        <v>37</v>
      </c>
      <c r="W18" s="8">
        <v>0</v>
      </c>
      <c r="X18" s="8" t="s">
        <v>36</v>
      </c>
      <c r="Y18" s="8" t="s">
        <v>200</v>
      </c>
      <c r="Z18" s="8" t="s">
        <v>201</v>
      </c>
      <c r="AA18" s="8" t="s">
        <v>72</v>
      </c>
      <c r="AB18" s="12">
        <v>8.33</v>
      </c>
      <c r="AC18" s="13">
        <v>5.09</v>
      </c>
      <c r="AD18" s="12">
        <v>8.06</v>
      </c>
      <c r="AE18" s="13">
        <v>7.16</v>
      </c>
      <c r="AF18" s="1"/>
      <c r="AG18" s="14">
        <f>(+AB18+AC18+AD18)/3</f>
        <v>7.16</v>
      </c>
      <c r="AH18" s="1"/>
      <c r="AI18" s="1">
        <f t="shared" si="0"/>
        <v>5.0119999999999996</v>
      </c>
      <c r="AJ18" s="1">
        <f t="shared" si="1"/>
        <v>2.1480000000000001</v>
      </c>
      <c r="AK18" s="1">
        <f t="shared" si="2"/>
        <v>7.16</v>
      </c>
      <c r="AL18" s="1"/>
      <c r="AM18" s="1"/>
      <c r="AN18" s="1"/>
      <c r="AO18" s="8" t="s">
        <v>202</v>
      </c>
    </row>
    <row r="19" spans="1:41" ht="30" thickBot="1">
      <c r="A19" s="7" t="s">
        <v>149</v>
      </c>
      <c r="B19" s="1" t="s">
        <v>150</v>
      </c>
      <c r="C19" s="8">
        <v>10</v>
      </c>
      <c r="D19" s="8">
        <v>10</v>
      </c>
      <c r="E19" s="8">
        <v>10</v>
      </c>
      <c r="F19" s="8" t="s">
        <v>35</v>
      </c>
      <c r="G19" s="8">
        <v>10</v>
      </c>
      <c r="H19" s="8">
        <v>10</v>
      </c>
      <c r="I19" s="8">
        <v>10</v>
      </c>
      <c r="J19" s="8">
        <v>10</v>
      </c>
      <c r="K19" s="8">
        <v>13</v>
      </c>
      <c r="L19" s="8" t="s">
        <v>35</v>
      </c>
      <c r="M19" s="8" t="s">
        <v>151</v>
      </c>
      <c r="N19" s="8">
        <v>10</v>
      </c>
      <c r="O19" s="8">
        <v>0</v>
      </c>
      <c r="P19" s="1" t="s">
        <v>34</v>
      </c>
      <c r="Q19" s="1" t="s">
        <v>34</v>
      </c>
      <c r="R19" s="8">
        <v>3</v>
      </c>
      <c r="S19" s="8" t="s">
        <v>35</v>
      </c>
      <c r="T19" s="8" t="s">
        <v>152</v>
      </c>
      <c r="U19" s="5" t="s">
        <v>34</v>
      </c>
      <c r="V19" s="8">
        <v>5</v>
      </c>
      <c r="W19" s="1" t="s">
        <v>34</v>
      </c>
      <c r="X19" s="8" t="s">
        <v>45</v>
      </c>
      <c r="Y19" s="8" t="s">
        <v>101</v>
      </c>
      <c r="Z19" s="8" t="s">
        <v>153</v>
      </c>
      <c r="AA19" s="8" t="s">
        <v>96</v>
      </c>
      <c r="AB19" s="12">
        <v>7.39</v>
      </c>
      <c r="AC19" s="13">
        <v>5.37</v>
      </c>
      <c r="AD19" s="12">
        <v>9.2200000000000006</v>
      </c>
      <c r="AE19" s="13">
        <v>7.33</v>
      </c>
      <c r="AF19" s="1"/>
      <c r="AG19" s="14">
        <f>(+AB19+AC19+AD19)/3</f>
        <v>7.3266666666666671</v>
      </c>
      <c r="AH19" s="1"/>
      <c r="AI19" s="1">
        <f t="shared" si="0"/>
        <v>5.1286666666666667</v>
      </c>
      <c r="AJ19" s="1">
        <f t="shared" si="1"/>
        <v>2.1989999999999998</v>
      </c>
      <c r="AK19" s="1">
        <f t="shared" si="2"/>
        <v>7.3276666666666666</v>
      </c>
      <c r="AL19" s="1"/>
      <c r="AM19" s="1"/>
      <c r="AN19" s="1"/>
      <c r="AO19" s="8" t="s">
        <v>154</v>
      </c>
    </row>
    <row r="20" spans="1:41" ht="30" thickBot="1">
      <c r="A20" s="7" t="s">
        <v>155</v>
      </c>
      <c r="B20" s="1" t="s">
        <v>156</v>
      </c>
      <c r="C20" s="8">
        <v>10</v>
      </c>
      <c r="D20" s="8">
        <v>10</v>
      </c>
      <c r="E20" s="8" t="s">
        <v>35</v>
      </c>
      <c r="F20" s="1" t="s">
        <v>34</v>
      </c>
      <c r="G20" s="8">
        <v>10</v>
      </c>
      <c r="H20" s="8">
        <v>10</v>
      </c>
      <c r="I20" s="1" t="s">
        <v>34</v>
      </c>
      <c r="J20" s="8">
        <v>10</v>
      </c>
      <c r="K20" s="8">
        <v>13</v>
      </c>
      <c r="L20" s="8">
        <v>10</v>
      </c>
      <c r="M20" s="8">
        <v>7</v>
      </c>
      <c r="N20" s="8">
        <v>8</v>
      </c>
      <c r="O20" s="8">
        <v>8</v>
      </c>
      <c r="P20" s="8">
        <v>10</v>
      </c>
      <c r="Q20" s="8" t="s">
        <v>44</v>
      </c>
      <c r="R20" s="8">
        <v>8</v>
      </c>
      <c r="S20" s="8" t="s">
        <v>44</v>
      </c>
      <c r="T20" s="8">
        <v>0</v>
      </c>
      <c r="U20" s="5" t="s">
        <v>34</v>
      </c>
      <c r="V20" s="8">
        <v>5</v>
      </c>
      <c r="W20" s="8">
        <v>2</v>
      </c>
      <c r="X20" s="8" t="s">
        <v>36</v>
      </c>
      <c r="Y20" s="8" t="s">
        <v>58</v>
      </c>
      <c r="Z20" s="8" t="s">
        <v>66</v>
      </c>
      <c r="AA20" s="8" t="s">
        <v>96</v>
      </c>
      <c r="AB20" s="12">
        <v>6.47</v>
      </c>
      <c r="AC20" s="12">
        <v>6.66</v>
      </c>
      <c r="AD20" s="12">
        <v>9</v>
      </c>
      <c r="AE20" s="13">
        <v>7.37</v>
      </c>
      <c r="AF20" s="1"/>
      <c r="AG20" s="14">
        <f>(+AB20+AC20+AD20)/3</f>
        <v>7.376666666666666</v>
      </c>
      <c r="AH20" s="1"/>
      <c r="AI20" s="1">
        <f t="shared" si="0"/>
        <v>5.163666666666666</v>
      </c>
      <c r="AJ20" s="1">
        <f t="shared" si="1"/>
        <v>2.2109999999999999</v>
      </c>
      <c r="AK20" s="1">
        <f t="shared" si="2"/>
        <v>7.3746666666666663</v>
      </c>
      <c r="AL20" s="1"/>
      <c r="AM20" s="1"/>
      <c r="AN20" s="1"/>
      <c r="AO20" s="8" t="s">
        <v>158</v>
      </c>
    </row>
    <row r="21" spans="1:41" ht="30" thickBot="1">
      <c r="A21" s="2" t="s">
        <v>207</v>
      </c>
      <c r="B21" s="1" t="s">
        <v>208</v>
      </c>
      <c r="C21" s="8">
        <v>10</v>
      </c>
      <c r="D21" s="8">
        <v>10</v>
      </c>
      <c r="E21" s="8">
        <v>10</v>
      </c>
      <c r="F21" s="8">
        <v>10</v>
      </c>
      <c r="G21" s="8">
        <v>10</v>
      </c>
      <c r="H21" s="8">
        <v>10</v>
      </c>
      <c r="I21" s="8">
        <v>10</v>
      </c>
      <c r="J21" s="8">
        <v>9</v>
      </c>
      <c r="K21" s="8" t="s">
        <v>43</v>
      </c>
      <c r="L21" s="8">
        <v>10</v>
      </c>
      <c r="M21" s="8">
        <v>7</v>
      </c>
      <c r="N21" s="8">
        <v>8</v>
      </c>
      <c r="O21" s="8">
        <v>9</v>
      </c>
      <c r="P21" s="8" t="s">
        <v>33</v>
      </c>
      <c r="Q21" s="8">
        <v>0</v>
      </c>
      <c r="R21" s="8">
        <v>10</v>
      </c>
      <c r="S21" s="8">
        <v>0</v>
      </c>
      <c r="T21" s="8">
        <v>10</v>
      </c>
      <c r="U21" s="5" t="s">
        <v>34</v>
      </c>
      <c r="V21" s="8">
        <v>8</v>
      </c>
      <c r="W21" s="8">
        <v>0</v>
      </c>
      <c r="X21" s="8" t="s">
        <v>36</v>
      </c>
      <c r="Y21" s="8" t="s">
        <v>209</v>
      </c>
      <c r="Z21" s="8" t="s">
        <v>210</v>
      </c>
      <c r="AA21" s="8" t="s">
        <v>39</v>
      </c>
      <c r="AB21" s="12">
        <v>8.7200000000000006</v>
      </c>
      <c r="AC21" s="13">
        <v>5.26</v>
      </c>
      <c r="AD21" s="12">
        <v>8.76</v>
      </c>
      <c r="AE21" s="13">
        <v>7.58</v>
      </c>
      <c r="AF21" s="1"/>
      <c r="AG21" s="14">
        <f>(+AB21+AC21+AD21)/3</f>
        <v>7.580000000000001</v>
      </c>
      <c r="AH21" s="1"/>
      <c r="AI21" s="1">
        <f t="shared" si="0"/>
        <v>5.306</v>
      </c>
      <c r="AJ21" s="1">
        <f t="shared" si="1"/>
        <v>2.274</v>
      </c>
      <c r="AK21" s="1">
        <f t="shared" si="2"/>
        <v>7.58</v>
      </c>
      <c r="AL21" s="1"/>
      <c r="AM21" s="1"/>
      <c r="AN21" s="1"/>
      <c r="AO21" s="8" t="s">
        <v>211</v>
      </c>
    </row>
    <row r="22" spans="1:41" ht="30" thickBot="1">
      <c r="A22" s="7" t="s">
        <v>169</v>
      </c>
      <c r="B22" s="1" t="s">
        <v>170</v>
      </c>
      <c r="C22" s="8" t="s">
        <v>62</v>
      </c>
      <c r="D22" s="8">
        <v>10</v>
      </c>
      <c r="E22" s="8">
        <v>8</v>
      </c>
      <c r="F22" s="8">
        <v>10</v>
      </c>
      <c r="G22" s="8">
        <v>10</v>
      </c>
      <c r="H22" s="8">
        <v>10</v>
      </c>
      <c r="I22" s="8" t="s">
        <v>35</v>
      </c>
      <c r="J22" s="8">
        <v>9</v>
      </c>
      <c r="K22" s="8" t="s">
        <v>43</v>
      </c>
      <c r="L22" s="8">
        <v>10</v>
      </c>
      <c r="M22" s="8">
        <v>9</v>
      </c>
      <c r="N22" s="8">
        <v>5</v>
      </c>
      <c r="O22" s="8" t="s">
        <v>35</v>
      </c>
      <c r="P22" s="8">
        <v>8</v>
      </c>
      <c r="Q22" s="8">
        <v>3</v>
      </c>
      <c r="R22" s="8">
        <v>9</v>
      </c>
      <c r="S22" s="8">
        <v>0</v>
      </c>
      <c r="T22" s="8">
        <v>10</v>
      </c>
      <c r="U22" s="5" t="s">
        <v>34</v>
      </c>
      <c r="V22" s="8">
        <v>8</v>
      </c>
      <c r="W22" s="8">
        <v>0</v>
      </c>
      <c r="X22" s="8" t="s">
        <v>63</v>
      </c>
      <c r="Y22" s="8" t="s">
        <v>171</v>
      </c>
      <c r="Z22" s="8" t="s">
        <v>172</v>
      </c>
      <c r="AA22" s="8" t="s">
        <v>39</v>
      </c>
      <c r="AB22" s="12">
        <v>8.6999999999999993</v>
      </c>
      <c r="AC22" s="13">
        <v>5.54</v>
      </c>
      <c r="AD22" s="12">
        <v>8.8000000000000007</v>
      </c>
      <c r="AE22" s="13">
        <v>7.68</v>
      </c>
      <c r="AF22" s="1"/>
      <c r="AG22" s="14">
        <f>(+AB22+AC22+AD22)/3</f>
        <v>7.68</v>
      </c>
      <c r="AH22" s="1"/>
      <c r="AI22" s="1">
        <f t="shared" si="0"/>
        <v>5.3759999999999994</v>
      </c>
      <c r="AJ22" s="1">
        <f t="shared" si="1"/>
        <v>2.3039999999999998</v>
      </c>
      <c r="AK22" s="1">
        <f t="shared" si="2"/>
        <v>7.68</v>
      </c>
      <c r="AL22" s="1"/>
      <c r="AM22" s="1"/>
      <c r="AN22" s="1"/>
      <c r="AO22" s="8" t="s">
        <v>173</v>
      </c>
    </row>
    <row r="23" spans="1:41" ht="30" thickBot="1">
      <c r="A23" s="7" t="s">
        <v>232</v>
      </c>
      <c r="B23" s="1" t="s">
        <v>233</v>
      </c>
      <c r="C23" s="8">
        <v>10</v>
      </c>
      <c r="D23" s="8">
        <v>10</v>
      </c>
      <c r="E23" s="8" t="s">
        <v>52</v>
      </c>
      <c r="F23" s="8">
        <v>10</v>
      </c>
      <c r="G23" s="8">
        <v>8</v>
      </c>
      <c r="H23" s="8">
        <v>10</v>
      </c>
      <c r="I23" s="8">
        <v>10</v>
      </c>
      <c r="J23" s="8">
        <v>8</v>
      </c>
      <c r="K23" s="8">
        <v>13</v>
      </c>
      <c r="L23" s="8">
        <v>10</v>
      </c>
      <c r="M23" s="1" t="s">
        <v>34</v>
      </c>
      <c r="N23" s="8">
        <v>10</v>
      </c>
      <c r="O23" s="8">
        <v>10</v>
      </c>
      <c r="P23" s="1" t="s">
        <v>34</v>
      </c>
      <c r="Q23" s="1" t="s">
        <v>34</v>
      </c>
      <c r="R23" s="8">
        <v>10</v>
      </c>
      <c r="S23" s="8">
        <v>5</v>
      </c>
      <c r="T23" s="8">
        <v>10</v>
      </c>
      <c r="U23" s="5" t="s">
        <v>34</v>
      </c>
      <c r="V23" s="8">
        <v>8</v>
      </c>
      <c r="W23" s="8">
        <v>9</v>
      </c>
      <c r="X23" s="8" t="s">
        <v>45</v>
      </c>
      <c r="Y23" s="8" t="s">
        <v>234</v>
      </c>
      <c r="Z23" s="8" t="s">
        <v>235</v>
      </c>
      <c r="AA23" s="8" t="s">
        <v>72</v>
      </c>
      <c r="AB23" s="12">
        <v>7.89</v>
      </c>
      <c r="AC23" s="12">
        <v>7.12</v>
      </c>
      <c r="AD23" s="12">
        <v>8.2899999999999991</v>
      </c>
      <c r="AE23" s="13">
        <v>7.77</v>
      </c>
      <c r="AF23" s="1"/>
      <c r="AG23" s="14">
        <f>(+AB23+AC23+AD23)/3</f>
        <v>7.7666666666666657</v>
      </c>
      <c r="AH23" s="1"/>
      <c r="AI23" s="1">
        <f t="shared" si="0"/>
        <v>5.4366666666666656</v>
      </c>
      <c r="AJ23" s="1">
        <f t="shared" si="1"/>
        <v>2.331</v>
      </c>
      <c r="AK23" s="1">
        <f t="shared" si="2"/>
        <v>7.7676666666666652</v>
      </c>
      <c r="AL23" s="1"/>
      <c r="AM23" s="1"/>
      <c r="AN23" s="1"/>
      <c r="AO23" s="8" t="s">
        <v>236</v>
      </c>
    </row>
    <row r="24" spans="1:41" ht="30" thickBot="1">
      <c r="A24" s="7" t="s">
        <v>122</v>
      </c>
      <c r="B24" s="1" t="s">
        <v>123</v>
      </c>
      <c r="C24" s="8">
        <v>10</v>
      </c>
      <c r="D24" s="8">
        <v>10</v>
      </c>
      <c r="E24" s="8" t="s">
        <v>44</v>
      </c>
      <c r="F24" s="8">
        <v>10</v>
      </c>
      <c r="G24" s="8">
        <v>10</v>
      </c>
      <c r="H24" s="8">
        <v>10</v>
      </c>
      <c r="I24" s="8">
        <v>5</v>
      </c>
      <c r="J24" s="1" t="s">
        <v>34</v>
      </c>
      <c r="K24" s="8" t="s">
        <v>37</v>
      </c>
      <c r="L24" s="8">
        <v>10</v>
      </c>
      <c r="M24" s="8" t="s">
        <v>44</v>
      </c>
      <c r="N24" s="8">
        <v>10</v>
      </c>
      <c r="O24" s="8">
        <v>10</v>
      </c>
      <c r="P24" s="8" t="s">
        <v>35</v>
      </c>
      <c r="Q24" s="8">
        <v>10</v>
      </c>
      <c r="R24" s="8">
        <v>8</v>
      </c>
      <c r="S24" s="8">
        <v>5</v>
      </c>
      <c r="T24" s="8">
        <v>10</v>
      </c>
      <c r="U24" s="5" t="s">
        <v>34</v>
      </c>
      <c r="V24" s="8">
        <v>8</v>
      </c>
      <c r="W24" s="8">
        <v>0</v>
      </c>
      <c r="X24" s="8" t="s">
        <v>93</v>
      </c>
      <c r="Y24" s="8" t="s">
        <v>124</v>
      </c>
      <c r="Z24" s="8" t="s">
        <v>125</v>
      </c>
      <c r="AA24" s="8" t="s">
        <v>66</v>
      </c>
      <c r="AB24" s="12">
        <v>8.6</v>
      </c>
      <c r="AC24" s="12">
        <v>7.47</v>
      </c>
      <c r="AD24" s="12">
        <v>7.36</v>
      </c>
      <c r="AE24" s="13">
        <v>7.81</v>
      </c>
      <c r="AF24" s="1"/>
      <c r="AG24" s="14">
        <f>(+AB24+AC24+AD24)/3</f>
        <v>7.81</v>
      </c>
      <c r="AH24" s="1"/>
      <c r="AI24" s="1">
        <f t="shared" si="0"/>
        <v>5.4669999999999996</v>
      </c>
      <c r="AJ24" s="1">
        <f t="shared" si="1"/>
        <v>2.343</v>
      </c>
      <c r="AK24" s="1">
        <f t="shared" si="2"/>
        <v>7.81</v>
      </c>
      <c r="AL24" s="1"/>
      <c r="AM24" s="1"/>
      <c r="AN24" s="1"/>
      <c r="AO24" s="8">
        <v>134</v>
      </c>
    </row>
    <row r="25" spans="1:41" ht="30" thickBot="1">
      <c r="A25" s="7" t="s">
        <v>105</v>
      </c>
      <c r="B25" s="1" t="s">
        <v>106</v>
      </c>
      <c r="C25" s="8">
        <v>10</v>
      </c>
      <c r="D25" s="8">
        <v>10</v>
      </c>
      <c r="E25" s="8">
        <v>10</v>
      </c>
      <c r="F25" s="8">
        <v>10</v>
      </c>
      <c r="G25" s="8">
        <v>10</v>
      </c>
      <c r="H25" s="8">
        <v>9</v>
      </c>
      <c r="I25" s="8">
        <v>10</v>
      </c>
      <c r="J25" s="8">
        <v>8</v>
      </c>
      <c r="K25" s="8" t="s">
        <v>107</v>
      </c>
      <c r="L25" s="8">
        <v>10</v>
      </c>
      <c r="M25" s="8">
        <v>6</v>
      </c>
      <c r="N25" s="8">
        <v>9</v>
      </c>
      <c r="O25" s="8">
        <v>0</v>
      </c>
      <c r="P25" s="8">
        <v>9</v>
      </c>
      <c r="Q25" s="1" t="s">
        <v>34</v>
      </c>
      <c r="R25" s="1" t="s">
        <v>34</v>
      </c>
      <c r="S25" s="8">
        <v>8</v>
      </c>
      <c r="T25" s="8" t="s">
        <v>108</v>
      </c>
      <c r="U25" s="5" t="s">
        <v>34</v>
      </c>
      <c r="V25" s="8" t="s">
        <v>33</v>
      </c>
      <c r="W25" s="8">
        <v>4</v>
      </c>
      <c r="X25" s="8" t="s">
        <v>93</v>
      </c>
      <c r="Y25" s="8" t="s">
        <v>109</v>
      </c>
      <c r="Z25" s="8" t="s">
        <v>110</v>
      </c>
      <c r="AA25" s="8" t="s">
        <v>111</v>
      </c>
      <c r="AB25" s="12">
        <v>8.56</v>
      </c>
      <c r="AC25" s="13">
        <v>6.25</v>
      </c>
      <c r="AD25" s="12">
        <v>9.2200000000000006</v>
      </c>
      <c r="AE25" s="13">
        <v>8.01</v>
      </c>
      <c r="AF25" s="1"/>
      <c r="AG25" s="14">
        <f>(+AB25+AC25+AD25)/3</f>
        <v>8.01</v>
      </c>
      <c r="AH25" s="1"/>
      <c r="AI25" s="1">
        <f t="shared" si="0"/>
        <v>5.6069999999999993</v>
      </c>
      <c r="AJ25" s="1">
        <f t="shared" si="1"/>
        <v>2.403</v>
      </c>
      <c r="AK25" s="1">
        <f t="shared" si="2"/>
        <v>8.01</v>
      </c>
      <c r="AL25" s="1"/>
      <c r="AM25" s="1"/>
      <c r="AN25" s="1"/>
      <c r="AO25" s="8" t="s">
        <v>112</v>
      </c>
    </row>
    <row r="26" spans="1:41" ht="30" thickBot="1">
      <c r="A26" s="7" t="s">
        <v>91</v>
      </c>
      <c r="B26" s="1" t="s">
        <v>92</v>
      </c>
      <c r="C26" s="8">
        <v>10</v>
      </c>
      <c r="D26" s="8">
        <v>10</v>
      </c>
      <c r="E26" s="8">
        <v>10</v>
      </c>
      <c r="F26" s="8">
        <v>10</v>
      </c>
      <c r="G26" s="8">
        <v>10</v>
      </c>
      <c r="H26" s="8">
        <v>10</v>
      </c>
      <c r="I26" s="8">
        <v>10</v>
      </c>
      <c r="J26" s="8">
        <v>10</v>
      </c>
      <c r="K26" s="8" t="s">
        <v>43</v>
      </c>
      <c r="L26" s="1" t="s">
        <v>34</v>
      </c>
      <c r="M26" s="8" t="s">
        <v>35</v>
      </c>
      <c r="N26" s="8">
        <v>10</v>
      </c>
      <c r="O26" s="8">
        <v>10</v>
      </c>
      <c r="P26" s="8" t="s">
        <v>33</v>
      </c>
      <c r="Q26" s="1" t="s">
        <v>34</v>
      </c>
      <c r="R26" s="8">
        <v>6</v>
      </c>
      <c r="S26" s="8">
        <v>5</v>
      </c>
      <c r="T26" s="8">
        <v>10</v>
      </c>
      <c r="U26" s="5" t="s">
        <v>34</v>
      </c>
      <c r="V26" s="8" t="s">
        <v>37</v>
      </c>
      <c r="W26" s="8">
        <v>0</v>
      </c>
      <c r="X26" s="8" t="s">
        <v>93</v>
      </c>
      <c r="Y26" s="8" t="s">
        <v>94</v>
      </c>
      <c r="Z26" s="8" t="s">
        <v>95</v>
      </c>
      <c r="AA26" s="8" t="s">
        <v>96</v>
      </c>
      <c r="AB26" s="12">
        <v>9.68</v>
      </c>
      <c r="AC26" s="13">
        <v>4.7300000000000004</v>
      </c>
      <c r="AD26" s="12">
        <v>9.69</v>
      </c>
      <c r="AE26" s="13">
        <v>8.0399999999999991</v>
      </c>
      <c r="AF26" s="1"/>
      <c r="AG26" s="14">
        <f>(+AB26+AC26+AD26)/3</f>
        <v>8.0333333333333332</v>
      </c>
      <c r="AH26" s="1"/>
      <c r="AI26" s="1">
        <f t="shared" si="0"/>
        <v>5.6233333333333331</v>
      </c>
      <c r="AJ26" s="1">
        <f t="shared" si="1"/>
        <v>2.4119999999999995</v>
      </c>
      <c r="AK26" s="1">
        <f t="shared" si="2"/>
        <v>8.0353333333333321</v>
      </c>
      <c r="AL26" s="1"/>
      <c r="AM26" s="1"/>
      <c r="AN26" s="1"/>
      <c r="AO26" s="8" t="s">
        <v>97</v>
      </c>
    </row>
    <row r="27" spans="1:41" ht="30" thickBot="1">
      <c r="A27" s="7" t="s">
        <v>81</v>
      </c>
      <c r="B27" s="1" t="s">
        <v>82</v>
      </c>
      <c r="C27" s="8">
        <v>10</v>
      </c>
      <c r="D27" s="8">
        <v>10</v>
      </c>
      <c r="E27" s="8" t="s">
        <v>44</v>
      </c>
      <c r="F27" s="8">
        <v>10</v>
      </c>
      <c r="G27" s="8">
        <v>10</v>
      </c>
      <c r="H27" s="8">
        <v>10</v>
      </c>
      <c r="I27" s="8">
        <v>8</v>
      </c>
      <c r="J27" s="8">
        <v>9</v>
      </c>
      <c r="K27" s="8" t="s">
        <v>43</v>
      </c>
      <c r="L27" s="8">
        <v>9</v>
      </c>
      <c r="M27" s="8">
        <v>10</v>
      </c>
      <c r="N27" s="8">
        <v>8</v>
      </c>
      <c r="O27" s="8" t="s">
        <v>35</v>
      </c>
      <c r="P27" s="8">
        <v>8</v>
      </c>
      <c r="Q27" s="8">
        <v>10</v>
      </c>
      <c r="R27" s="8">
        <v>10</v>
      </c>
      <c r="S27" s="8">
        <v>10</v>
      </c>
      <c r="T27" s="8">
        <v>10</v>
      </c>
      <c r="U27" s="5" t="s">
        <v>34</v>
      </c>
      <c r="V27" s="8">
        <v>5</v>
      </c>
      <c r="W27" s="8">
        <v>0</v>
      </c>
      <c r="X27" s="8" t="s">
        <v>63</v>
      </c>
      <c r="Y27" s="8" t="s">
        <v>83</v>
      </c>
      <c r="Z27" s="8" t="s">
        <v>84</v>
      </c>
      <c r="AA27" s="8" t="s">
        <v>39</v>
      </c>
      <c r="AB27" s="12">
        <v>8.64</v>
      </c>
      <c r="AC27" s="12">
        <v>7.17</v>
      </c>
      <c r="AD27" s="12">
        <v>8.8000000000000007</v>
      </c>
      <c r="AE27" s="13">
        <v>8.2100000000000009</v>
      </c>
      <c r="AF27" s="1"/>
      <c r="AG27" s="14">
        <f>(+AB27+AC27+AD27)/3</f>
        <v>8.2033333333333331</v>
      </c>
      <c r="AH27" s="1"/>
      <c r="AI27" s="1">
        <f t="shared" si="0"/>
        <v>5.7423333333333328</v>
      </c>
      <c r="AJ27" s="1">
        <f t="shared" si="1"/>
        <v>2.4630000000000001</v>
      </c>
      <c r="AK27" s="1">
        <f t="shared" si="2"/>
        <v>8.205333333333332</v>
      </c>
      <c r="AL27" s="1"/>
      <c r="AM27" s="1"/>
      <c r="AN27" s="1"/>
      <c r="AO27" s="8" t="s">
        <v>85</v>
      </c>
    </row>
    <row r="28" spans="1:41" ht="30" thickBot="1">
      <c r="A28" s="7" t="s">
        <v>203</v>
      </c>
      <c r="B28" s="1" t="s">
        <v>204</v>
      </c>
      <c r="C28" s="8">
        <v>9</v>
      </c>
      <c r="D28" s="8">
        <v>10</v>
      </c>
      <c r="E28" s="8" t="s">
        <v>35</v>
      </c>
      <c r="F28" s="8">
        <v>10</v>
      </c>
      <c r="G28" s="8">
        <v>10</v>
      </c>
      <c r="H28" s="8">
        <v>10</v>
      </c>
      <c r="I28" s="8">
        <v>10</v>
      </c>
      <c r="J28" s="8">
        <v>10</v>
      </c>
      <c r="K28" s="8" t="s">
        <v>43</v>
      </c>
      <c r="L28" s="8">
        <v>10</v>
      </c>
      <c r="M28" s="1" t="s">
        <v>34</v>
      </c>
      <c r="N28" s="8">
        <v>8</v>
      </c>
      <c r="O28" s="8" t="s">
        <v>35</v>
      </c>
      <c r="P28" s="8" t="s">
        <v>35</v>
      </c>
      <c r="Q28" s="8">
        <v>10</v>
      </c>
      <c r="R28" s="8">
        <v>10</v>
      </c>
      <c r="S28" s="8" t="s">
        <v>35</v>
      </c>
      <c r="T28" s="8">
        <v>10</v>
      </c>
      <c r="U28" s="5" t="s">
        <v>34</v>
      </c>
      <c r="V28" s="8" t="s">
        <v>33</v>
      </c>
      <c r="W28" s="1" t="s">
        <v>34</v>
      </c>
      <c r="X28" s="8" t="s">
        <v>36</v>
      </c>
      <c r="Y28" s="8" t="s">
        <v>205</v>
      </c>
      <c r="Z28" s="8" t="s">
        <v>48</v>
      </c>
      <c r="AA28" s="8" t="s">
        <v>96</v>
      </c>
      <c r="AB28" s="12">
        <v>8.17</v>
      </c>
      <c r="AC28" s="12">
        <v>7.6</v>
      </c>
      <c r="AD28" s="12">
        <v>9</v>
      </c>
      <c r="AE28" s="13">
        <v>8.25</v>
      </c>
      <c r="AF28" s="1"/>
      <c r="AG28" s="14">
        <f>(+AB28+AC28+AD28)/3</f>
        <v>8.2566666666666659</v>
      </c>
      <c r="AH28" s="1"/>
      <c r="AI28" s="1">
        <f t="shared" si="0"/>
        <v>5.7796666666666656</v>
      </c>
      <c r="AJ28" s="1">
        <f t="shared" si="1"/>
        <v>2.4750000000000001</v>
      </c>
      <c r="AK28" s="1">
        <f t="shared" si="2"/>
        <v>8.2546666666666653</v>
      </c>
      <c r="AL28" s="1"/>
      <c r="AM28" s="1"/>
      <c r="AN28" s="1"/>
      <c r="AO28" s="8" t="s">
        <v>206</v>
      </c>
    </row>
    <row r="29" spans="1:41" ht="30" thickBot="1">
      <c r="A29" s="7" t="s">
        <v>183</v>
      </c>
      <c r="B29" s="1" t="s">
        <v>184</v>
      </c>
      <c r="C29" s="8">
        <v>10</v>
      </c>
      <c r="D29" s="8">
        <v>10</v>
      </c>
      <c r="E29" s="8" t="s">
        <v>52</v>
      </c>
      <c r="F29" s="8">
        <v>10</v>
      </c>
      <c r="G29" s="8">
        <v>10</v>
      </c>
      <c r="H29" s="8">
        <v>10</v>
      </c>
      <c r="I29" s="8" t="s">
        <v>52</v>
      </c>
      <c r="J29" s="8">
        <v>9</v>
      </c>
      <c r="K29" s="8">
        <v>13</v>
      </c>
      <c r="L29" s="8">
        <v>10</v>
      </c>
      <c r="M29" s="8">
        <v>7</v>
      </c>
      <c r="N29" s="8">
        <v>7</v>
      </c>
      <c r="O29" s="8">
        <v>9</v>
      </c>
      <c r="P29" s="8" t="s">
        <v>33</v>
      </c>
      <c r="Q29" s="8">
        <v>8</v>
      </c>
      <c r="R29" s="8">
        <v>10</v>
      </c>
      <c r="S29" s="8">
        <v>8</v>
      </c>
      <c r="T29" s="8" t="s">
        <v>166</v>
      </c>
      <c r="U29" s="10">
        <v>8</v>
      </c>
      <c r="V29" s="8" t="s">
        <v>37</v>
      </c>
      <c r="W29" s="8">
        <v>9</v>
      </c>
      <c r="X29" s="8" t="s">
        <v>70</v>
      </c>
      <c r="Y29" s="8" t="s">
        <v>102</v>
      </c>
      <c r="Z29" s="8" t="s">
        <v>185</v>
      </c>
      <c r="AA29" s="8" t="s">
        <v>39</v>
      </c>
      <c r="AB29" s="12">
        <v>8.56</v>
      </c>
      <c r="AC29" s="12">
        <v>7.86</v>
      </c>
      <c r="AD29" s="12">
        <v>8.6199999999999992</v>
      </c>
      <c r="AE29" s="13">
        <v>8.34</v>
      </c>
      <c r="AF29" s="1"/>
      <c r="AG29" s="14">
        <f>(+AB29+AC29+AD29)/3</f>
        <v>8.3466666666666658</v>
      </c>
      <c r="AH29" s="1"/>
      <c r="AI29" s="1">
        <f t="shared" si="0"/>
        <v>5.8426666666666653</v>
      </c>
      <c r="AJ29" s="1">
        <f t="shared" si="1"/>
        <v>2.5019999999999998</v>
      </c>
      <c r="AK29" s="1">
        <f t="shared" si="2"/>
        <v>8.3446666666666651</v>
      </c>
      <c r="AL29" s="1"/>
      <c r="AM29" s="1"/>
      <c r="AN29" s="1"/>
      <c r="AO29" s="8" t="s">
        <v>186</v>
      </c>
    </row>
    <row r="30" spans="1:41" ht="30" thickBot="1">
      <c r="A30" s="7" t="s">
        <v>247</v>
      </c>
      <c r="B30" s="1" t="s">
        <v>248</v>
      </c>
      <c r="C30" s="8">
        <v>10</v>
      </c>
      <c r="D30" s="8">
        <v>10</v>
      </c>
      <c r="E30" s="8" t="s">
        <v>33</v>
      </c>
      <c r="F30" s="8">
        <v>10</v>
      </c>
      <c r="G30" s="8">
        <v>10</v>
      </c>
      <c r="H30" s="8">
        <v>10</v>
      </c>
      <c r="I30" s="8">
        <v>10</v>
      </c>
      <c r="J30" s="8">
        <v>8</v>
      </c>
      <c r="K30" s="8" t="s">
        <v>43</v>
      </c>
      <c r="L30" s="8">
        <v>10</v>
      </c>
      <c r="M30" s="8">
        <v>8</v>
      </c>
      <c r="N30" s="8">
        <v>10</v>
      </c>
      <c r="O30" s="8" t="s">
        <v>249</v>
      </c>
      <c r="P30" s="8" t="s">
        <v>35</v>
      </c>
      <c r="Q30" s="1" t="s">
        <v>34</v>
      </c>
      <c r="R30" s="8">
        <v>10</v>
      </c>
      <c r="S30" s="8">
        <v>5</v>
      </c>
      <c r="T30" s="8">
        <v>10</v>
      </c>
      <c r="U30" s="5" t="s">
        <v>34</v>
      </c>
      <c r="V30" s="8">
        <v>8</v>
      </c>
      <c r="W30" s="8">
        <v>0</v>
      </c>
      <c r="X30" s="8" t="s">
        <v>93</v>
      </c>
      <c r="Y30" s="8" t="s">
        <v>250</v>
      </c>
      <c r="Z30" s="8" t="s">
        <v>251</v>
      </c>
      <c r="AA30" s="8" t="s">
        <v>111</v>
      </c>
      <c r="AB30" s="12">
        <v>9.3800000000000008</v>
      </c>
      <c r="AC30" s="12">
        <v>6.54</v>
      </c>
      <c r="AD30" s="12">
        <v>9.2200000000000006</v>
      </c>
      <c r="AE30" s="13">
        <v>8.3800000000000008</v>
      </c>
      <c r="AF30" s="1"/>
      <c r="AG30" s="14">
        <f>(+AB30+AC30+AD30)/3</f>
        <v>8.3800000000000008</v>
      </c>
      <c r="AH30" s="1"/>
      <c r="AI30" s="1">
        <f t="shared" si="0"/>
        <v>5.8660000000000005</v>
      </c>
      <c r="AJ30" s="1">
        <f t="shared" si="1"/>
        <v>2.5140000000000002</v>
      </c>
      <c r="AK30" s="1">
        <f t="shared" si="2"/>
        <v>8.3800000000000008</v>
      </c>
      <c r="AL30" s="1"/>
      <c r="AM30" s="1"/>
      <c r="AN30" s="1"/>
      <c r="AO30" s="8" t="s">
        <v>252</v>
      </c>
    </row>
    <row r="31" spans="1:41" ht="30" thickBot="1">
      <c r="A31" s="7" t="s">
        <v>163</v>
      </c>
      <c r="B31" s="1" t="s">
        <v>164</v>
      </c>
      <c r="C31" s="8" t="s">
        <v>165</v>
      </c>
      <c r="D31" s="8">
        <v>10</v>
      </c>
      <c r="E31" s="8">
        <v>10</v>
      </c>
      <c r="F31" s="8">
        <v>10</v>
      </c>
      <c r="G31" s="8">
        <v>10</v>
      </c>
      <c r="H31" s="8">
        <v>10</v>
      </c>
      <c r="I31" s="8">
        <v>10</v>
      </c>
      <c r="J31" s="8">
        <v>9</v>
      </c>
      <c r="K31" s="8" t="s">
        <v>133</v>
      </c>
      <c r="L31" s="8">
        <v>10</v>
      </c>
      <c r="M31" s="8">
        <v>9</v>
      </c>
      <c r="N31" s="8">
        <v>10</v>
      </c>
      <c r="O31" s="8" t="s">
        <v>35</v>
      </c>
      <c r="P31" s="8">
        <v>10</v>
      </c>
      <c r="Q31" s="8" t="s">
        <v>37</v>
      </c>
      <c r="R31" s="8">
        <v>10</v>
      </c>
      <c r="S31" s="8" t="s">
        <v>35</v>
      </c>
      <c r="T31" s="8" t="s">
        <v>166</v>
      </c>
      <c r="U31" s="5" t="s">
        <v>34</v>
      </c>
      <c r="V31" s="8">
        <v>8</v>
      </c>
      <c r="W31" s="8">
        <v>0</v>
      </c>
      <c r="X31" s="8" t="s">
        <v>45</v>
      </c>
      <c r="Y31" s="8" t="s">
        <v>167</v>
      </c>
      <c r="Z31" s="8" t="s">
        <v>84</v>
      </c>
      <c r="AA31" s="8" t="s">
        <v>39</v>
      </c>
      <c r="AB31" s="12">
        <v>8.99</v>
      </c>
      <c r="AC31" s="12">
        <v>7.36</v>
      </c>
      <c r="AD31" s="12">
        <v>8.99</v>
      </c>
      <c r="AE31" s="13">
        <v>8.44</v>
      </c>
      <c r="AF31" s="1"/>
      <c r="AG31" s="14">
        <f>(+AB31+AC31+AD31)/3</f>
        <v>8.4466666666666672</v>
      </c>
      <c r="AH31" s="1"/>
      <c r="AI31" s="1">
        <f t="shared" si="0"/>
        <v>5.9126666666666665</v>
      </c>
      <c r="AJ31" s="1">
        <f t="shared" si="1"/>
        <v>2.5319999999999996</v>
      </c>
      <c r="AK31" s="1">
        <f t="shared" si="2"/>
        <v>8.4446666666666665</v>
      </c>
      <c r="AL31" s="1"/>
      <c r="AM31" s="1"/>
      <c r="AN31" s="1"/>
      <c r="AO31" s="8" t="s">
        <v>168</v>
      </c>
    </row>
    <row r="32" spans="1:41" ht="30" thickBot="1">
      <c r="A32" s="7" t="s">
        <v>113</v>
      </c>
      <c r="B32" s="1" t="s">
        <v>114</v>
      </c>
      <c r="C32" s="8">
        <v>10</v>
      </c>
      <c r="D32" s="8">
        <v>10</v>
      </c>
      <c r="E32" s="8">
        <v>8</v>
      </c>
      <c r="F32" s="8" t="s">
        <v>52</v>
      </c>
      <c r="G32" s="8">
        <v>10</v>
      </c>
      <c r="H32" s="8">
        <v>10</v>
      </c>
      <c r="I32" s="8">
        <v>10</v>
      </c>
      <c r="J32" s="8">
        <v>8</v>
      </c>
      <c r="K32" s="8" t="s">
        <v>107</v>
      </c>
      <c r="L32" s="8">
        <v>10</v>
      </c>
      <c r="M32" s="8" t="s">
        <v>33</v>
      </c>
      <c r="N32" s="8">
        <v>8</v>
      </c>
      <c r="O32" s="8">
        <v>10</v>
      </c>
      <c r="P32" s="8">
        <v>8</v>
      </c>
      <c r="Q32" s="8" t="s">
        <v>33</v>
      </c>
      <c r="R32" s="8">
        <v>10</v>
      </c>
      <c r="S32" s="8">
        <v>10</v>
      </c>
      <c r="T32" s="8">
        <v>10</v>
      </c>
      <c r="U32" s="5" t="s">
        <v>34</v>
      </c>
      <c r="V32" s="8">
        <v>5</v>
      </c>
      <c r="W32" s="8">
        <v>0</v>
      </c>
      <c r="X32" s="8" t="s">
        <v>53</v>
      </c>
      <c r="Y32" s="8" t="s">
        <v>103</v>
      </c>
      <c r="Z32" s="8" t="s">
        <v>115</v>
      </c>
      <c r="AA32" s="8" t="s">
        <v>111</v>
      </c>
      <c r="AB32" s="12">
        <v>9.08</v>
      </c>
      <c r="AC32" s="12">
        <v>7.54</v>
      </c>
      <c r="AD32" s="12">
        <v>8.99</v>
      </c>
      <c r="AE32" s="13">
        <v>8.5399999999999991</v>
      </c>
      <c r="AF32" s="1"/>
      <c r="AG32" s="14">
        <f>(+AB32+AC32+AD32)/3</f>
        <v>8.5366666666666671</v>
      </c>
      <c r="AH32" s="1"/>
      <c r="AI32" s="1">
        <f t="shared" si="0"/>
        <v>5.9756666666666662</v>
      </c>
      <c r="AJ32" s="1">
        <f t="shared" si="1"/>
        <v>2.5619999999999998</v>
      </c>
      <c r="AK32" s="1">
        <f t="shared" si="2"/>
        <v>8.5376666666666665</v>
      </c>
      <c r="AL32" s="1"/>
      <c r="AM32" s="1"/>
      <c r="AN32" s="1"/>
      <c r="AO32" s="8" t="s">
        <v>116</v>
      </c>
    </row>
    <row r="33" spans="1:41" ht="30" thickBot="1">
      <c r="A33" s="7" t="s">
        <v>141</v>
      </c>
      <c r="B33" s="1" t="s">
        <v>142</v>
      </c>
      <c r="C33" s="8">
        <v>10</v>
      </c>
      <c r="D33" s="8">
        <v>10</v>
      </c>
      <c r="E33" s="8" t="s">
        <v>62</v>
      </c>
      <c r="F33" s="8">
        <v>10</v>
      </c>
      <c r="G33" s="8">
        <v>10</v>
      </c>
      <c r="H33" s="8">
        <v>9</v>
      </c>
      <c r="I33" s="8" t="s">
        <v>35</v>
      </c>
      <c r="J33" s="8">
        <v>9</v>
      </c>
      <c r="K33" s="8" t="s">
        <v>43</v>
      </c>
      <c r="L33" s="8">
        <v>10</v>
      </c>
      <c r="M33" s="8">
        <v>7</v>
      </c>
      <c r="N33" s="8">
        <v>9</v>
      </c>
      <c r="O33" s="8" t="s">
        <v>143</v>
      </c>
      <c r="P33" s="8" t="s">
        <v>33</v>
      </c>
      <c r="Q33" s="8" t="s">
        <v>144</v>
      </c>
      <c r="R33" s="8" t="s">
        <v>35</v>
      </c>
      <c r="S33" s="8" t="s">
        <v>33</v>
      </c>
      <c r="T33" s="8" t="s">
        <v>145</v>
      </c>
      <c r="U33" s="5" t="s">
        <v>34</v>
      </c>
      <c r="V33" s="8" t="s">
        <v>37</v>
      </c>
      <c r="W33" s="1" t="s">
        <v>34</v>
      </c>
      <c r="X33" s="8" t="s">
        <v>93</v>
      </c>
      <c r="Y33" s="8" t="s">
        <v>146</v>
      </c>
      <c r="Z33" s="8" t="s">
        <v>147</v>
      </c>
      <c r="AA33" s="8" t="s">
        <v>39</v>
      </c>
      <c r="AB33" s="12">
        <v>9.23</v>
      </c>
      <c r="AC33" s="12">
        <v>7.24</v>
      </c>
      <c r="AD33" s="12">
        <v>9.4600000000000009</v>
      </c>
      <c r="AE33" s="13">
        <v>8.64</v>
      </c>
      <c r="AF33" s="1"/>
      <c r="AG33" s="14">
        <f>(+AB33+AC33+AD33)/3</f>
        <v>8.6433333333333326</v>
      </c>
      <c r="AH33" s="1"/>
      <c r="AI33" s="1">
        <f t="shared" si="0"/>
        <v>6.0503333333333327</v>
      </c>
      <c r="AJ33" s="1">
        <f t="shared" si="1"/>
        <v>2.5920000000000001</v>
      </c>
      <c r="AK33" s="1">
        <f t="shared" si="2"/>
        <v>8.6423333333333332</v>
      </c>
      <c r="AL33" s="1"/>
      <c r="AM33" s="1"/>
      <c r="AN33" s="1"/>
      <c r="AO33" s="8" t="s">
        <v>148</v>
      </c>
    </row>
    <row r="34" spans="1:41" ht="30" thickBot="1">
      <c r="A34" s="7" t="s">
        <v>179</v>
      </c>
      <c r="B34" s="1" t="s">
        <v>180</v>
      </c>
      <c r="C34" s="8">
        <v>10</v>
      </c>
      <c r="D34" s="8">
        <v>10</v>
      </c>
      <c r="E34" s="8">
        <v>10</v>
      </c>
      <c r="F34" s="8">
        <v>10</v>
      </c>
      <c r="G34" s="8">
        <v>10</v>
      </c>
      <c r="H34" s="8">
        <v>10</v>
      </c>
      <c r="I34" s="8">
        <v>10</v>
      </c>
      <c r="J34" s="8">
        <v>8</v>
      </c>
      <c r="K34" s="8" t="s">
        <v>43</v>
      </c>
      <c r="L34" s="8">
        <v>10</v>
      </c>
      <c r="M34" s="8">
        <v>9</v>
      </c>
      <c r="N34" s="8">
        <v>8</v>
      </c>
      <c r="O34" s="8" t="s">
        <v>35</v>
      </c>
      <c r="P34" s="8" t="s">
        <v>35</v>
      </c>
      <c r="Q34" s="8" t="s">
        <v>144</v>
      </c>
      <c r="R34" s="8">
        <v>10</v>
      </c>
      <c r="S34" s="8">
        <v>10</v>
      </c>
      <c r="T34" s="8">
        <v>10</v>
      </c>
      <c r="U34" s="5" t="s">
        <v>34</v>
      </c>
      <c r="V34" s="8">
        <v>2</v>
      </c>
      <c r="W34" s="8">
        <v>8</v>
      </c>
      <c r="X34" s="8" t="s">
        <v>53</v>
      </c>
      <c r="Y34" s="8" t="s">
        <v>94</v>
      </c>
      <c r="Z34" s="8" t="s">
        <v>181</v>
      </c>
      <c r="AA34" s="8" t="s">
        <v>111</v>
      </c>
      <c r="AB34" s="12">
        <v>9.4499999999999993</v>
      </c>
      <c r="AC34" s="12">
        <v>7.65</v>
      </c>
      <c r="AD34" s="12">
        <v>8.99</v>
      </c>
      <c r="AE34" s="15">
        <v>8.6999999999999993</v>
      </c>
      <c r="AF34" s="1"/>
      <c r="AG34" s="14">
        <f>(+AB34+AC34+AD34)/3</f>
        <v>8.6966666666666672</v>
      </c>
      <c r="AH34" s="1"/>
      <c r="AI34" s="1">
        <f t="shared" si="0"/>
        <v>6.0876666666666663</v>
      </c>
      <c r="AJ34" s="1">
        <f t="shared" si="1"/>
        <v>2.61</v>
      </c>
      <c r="AK34" s="1">
        <f t="shared" si="2"/>
        <v>8.6976666666666667</v>
      </c>
      <c r="AL34" s="1"/>
      <c r="AM34" s="1"/>
      <c r="AN34" s="1"/>
      <c r="AO34" s="8" t="s">
        <v>182</v>
      </c>
    </row>
    <row r="35" spans="1:41" ht="30" thickBot="1">
      <c r="A35" s="7" t="s">
        <v>41</v>
      </c>
      <c r="B35" s="1" t="s">
        <v>42</v>
      </c>
      <c r="C35" s="8">
        <v>10</v>
      </c>
      <c r="D35" s="8">
        <v>10</v>
      </c>
      <c r="E35" s="8">
        <v>10</v>
      </c>
      <c r="F35" s="8">
        <v>10</v>
      </c>
      <c r="G35" s="8">
        <v>10</v>
      </c>
      <c r="H35" s="8">
        <v>10</v>
      </c>
      <c r="I35" s="8">
        <v>10</v>
      </c>
      <c r="J35" s="8">
        <v>9</v>
      </c>
      <c r="K35" s="8" t="s">
        <v>43</v>
      </c>
      <c r="L35" s="8">
        <v>10</v>
      </c>
      <c r="M35" s="8" t="s">
        <v>44</v>
      </c>
      <c r="N35" s="8">
        <v>10</v>
      </c>
      <c r="O35" s="8">
        <v>10</v>
      </c>
      <c r="P35" s="8" t="s">
        <v>35</v>
      </c>
      <c r="Q35" s="8">
        <v>7</v>
      </c>
      <c r="R35" s="8">
        <v>10</v>
      </c>
      <c r="S35" s="8">
        <v>10</v>
      </c>
      <c r="T35" s="8">
        <v>10</v>
      </c>
      <c r="U35" s="5" t="s">
        <v>34</v>
      </c>
      <c r="V35" s="8" t="s">
        <v>33</v>
      </c>
      <c r="W35" s="8">
        <v>4</v>
      </c>
      <c r="X35" s="8" t="s">
        <v>45</v>
      </c>
      <c r="Y35" s="8" t="s">
        <v>46</v>
      </c>
      <c r="Z35" s="8" t="s">
        <v>47</v>
      </c>
      <c r="AA35" s="8" t="s">
        <v>39</v>
      </c>
      <c r="AB35" s="12">
        <v>9.14</v>
      </c>
      <c r="AC35" s="12">
        <v>8</v>
      </c>
      <c r="AD35" s="12">
        <v>8.99</v>
      </c>
      <c r="AE35" s="15">
        <v>8.7100000000000009</v>
      </c>
      <c r="AF35" s="1"/>
      <c r="AG35" s="14">
        <f>(+AB35+AC35+AD35)/3</f>
        <v>8.7100000000000009</v>
      </c>
      <c r="AH35" s="1"/>
      <c r="AI35" s="1">
        <f t="shared" si="0"/>
        <v>6.0970000000000004</v>
      </c>
      <c r="AJ35" s="1">
        <f t="shared" si="1"/>
        <v>2.613</v>
      </c>
      <c r="AK35" s="1">
        <f t="shared" si="2"/>
        <v>8.7100000000000009</v>
      </c>
      <c r="AL35" s="1"/>
      <c r="AM35" s="1"/>
      <c r="AN35" s="1"/>
      <c r="AO35" s="8" t="s">
        <v>49</v>
      </c>
    </row>
    <row r="36" spans="1:41" ht="30" thickBot="1">
      <c r="A36" s="7" t="s">
        <v>212</v>
      </c>
      <c r="B36" s="1" t="s">
        <v>213</v>
      </c>
      <c r="C36" s="8">
        <v>10</v>
      </c>
      <c r="D36" s="8">
        <v>10</v>
      </c>
      <c r="E36" s="8">
        <v>10</v>
      </c>
      <c r="F36" s="8">
        <v>10</v>
      </c>
      <c r="G36" s="8">
        <v>10</v>
      </c>
      <c r="H36" s="8">
        <v>9</v>
      </c>
      <c r="I36" s="8" t="s">
        <v>35</v>
      </c>
      <c r="J36" s="8">
        <v>9</v>
      </c>
      <c r="K36" s="8" t="s">
        <v>133</v>
      </c>
      <c r="L36" s="8">
        <v>10</v>
      </c>
      <c r="M36" s="8">
        <v>9</v>
      </c>
      <c r="N36" s="8">
        <v>9</v>
      </c>
      <c r="O36" s="8" t="s">
        <v>35</v>
      </c>
      <c r="P36" s="8" t="s">
        <v>33</v>
      </c>
      <c r="Q36" s="8">
        <v>6</v>
      </c>
      <c r="R36" s="8">
        <v>9</v>
      </c>
      <c r="S36" s="8">
        <v>8</v>
      </c>
      <c r="T36" s="8" t="s">
        <v>214</v>
      </c>
      <c r="U36" s="5" t="s">
        <v>34</v>
      </c>
      <c r="V36" s="8">
        <v>8</v>
      </c>
      <c r="W36" s="8">
        <v>0</v>
      </c>
      <c r="X36" s="8" t="s">
        <v>93</v>
      </c>
      <c r="Y36" s="8" t="s">
        <v>146</v>
      </c>
      <c r="Z36" s="8" t="s">
        <v>125</v>
      </c>
      <c r="AA36" s="8" t="s">
        <v>39</v>
      </c>
      <c r="AB36" s="12">
        <v>9.23</v>
      </c>
      <c r="AC36" s="12">
        <v>7.47</v>
      </c>
      <c r="AD36" s="12">
        <v>9.4600000000000009</v>
      </c>
      <c r="AE36" s="13">
        <v>8.7200000000000006</v>
      </c>
      <c r="AF36" s="1"/>
      <c r="AG36" s="14">
        <f>(+AB36+AC36+AD36)/3</f>
        <v>8.7200000000000006</v>
      </c>
      <c r="AH36" s="1"/>
      <c r="AI36" s="1">
        <f t="shared" si="0"/>
        <v>6.1040000000000001</v>
      </c>
      <c r="AJ36" s="1">
        <f t="shared" si="1"/>
        <v>2.6160000000000001</v>
      </c>
      <c r="AK36" s="1">
        <f t="shared" si="2"/>
        <v>8.7200000000000006</v>
      </c>
      <c r="AL36" s="1"/>
      <c r="AM36" s="1"/>
      <c r="AN36" s="1"/>
      <c r="AO36" s="8" t="s">
        <v>215</v>
      </c>
    </row>
    <row r="37" spans="1:41" ht="44.25" thickBot="1">
      <c r="A37" s="7" t="s">
        <v>98</v>
      </c>
      <c r="B37" s="1" t="s">
        <v>99</v>
      </c>
      <c r="C37" s="8">
        <v>10</v>
      </c>
      <c r="D37" s="8">
        <v>10</v>
      </c>
      <c r="E37" s="8">
        <v>9</v>
      </c>
      <c r="F37" s="8">
        <v>10</v>
      </c>
      <c r="G37" s="8">
        <v>10</v>
      </c>
      <c r="H37" s="8">
        <v>10</v>
      </c>
      <c r="I37" s="8">
        <v>10</v>
      </c>
      <c r="J37" s="8">
        <v>10</v>
      </c>
      <c r="K37" s="8">
        <v>13</v>
      </c>
      <c r="L37" s="8" t="s">
        <v>52</v>
      </c>
      <c r="M37" s="8">
        <v>10</v>
      </c>
      <c r="N37" s="8">
        <v>8</v>
      </c>
      <c r="O37" s="8">
        <v>10</v>
      </c>
      <c r="P37" s="8" t="s">
        <v>35</v>
      </c>
      <c r="Q37" s="8">
        <v>8</v>
      </c>
      <c r="R37" s="8">
        <v>10</v>
      </c>
      <c r="S37" s="8">
        <v>6</v>
      </c>
      <c r="T37" s="8">
        <v>10</v>
      </c>
      <c r="U37" s="5" t="s">
        <v>34</v>
      </c>
      <c r="V37" s="8" t="s">
        <v>37</v>
      </c>
      <c r="W37" s="8">
        <v>4</v>
      </c>
      <c r="X37" s="8" t="s">
        <v>53</v>
      </c>
      <c r="Y37" s="8" t="s">
        <v>100</v>
      </c>
      <c r="Z37" s="8" t="s">
        <v>101</v>
      </c>
      <c r="AA37" s="8" t="s">
        <v>96</v>
      </c>
      <c r="AB37" s="12">
        <v>9.58</v>
      </c>
      <c r="AC37" s="12">
        <v>7.63</v>
      </c>
      <c r="AD37" s="12">
        <v>9.4600000000000009</v>
      </c>
      <c r="AE37" s="15">
        <v>8.89</v>
      </c>
      <c r="AF37" s="1"/>
      <c r="AG37" s="14">
        <f>(+AB37+AC37+AD37)/3</f>
        <v>8.89</v>
      </c>
      <c r="AH37" s="1"/>
      <c r="AI37" s="1">
        <f t="shared" si="0"/>
        <v>6.2229999999999999</v>
      </c>
      <c r="AJ37" s="1">
        <f t="shared" si="1"/>
        <v>2.6670000000000003</v>
      </c>
      <c r="AK37" s="1">
        <f t="shared" si="2"/>
        <v>8.89</v>
      </c>
      <c r="AL37" s="1"/>
      <c r="AM37" s="1"/>
      <c r="AN37" s="1"/>
      <c r="AO37" s="8" t="s">
        <v>104</v>
      </c>
    </row>
    <row r="38" spans="1:41" ht="44.25" thickBot="1">
      <c r="A38" s="7" t="s">
        <v>159</v>
      </c>
      <c r="B38" s="1" t="s">
        <v>160</v>
      </c>
      <c r="C38" s="8">
        <v>10</v>
      </c>
      <c r="D38" s="8">
        <v>10</v>
      </c>
      <c r="E38" s="8">
        <v>10</v>
      </c>
      <c r="F38" s="8">
        <v>10</v>
      </c>
      <c r="G38" s="8">
        <v>10</v>
      </c>
      <c r="H38" s="8">
        <v>10</v>
      </c>
      <c r="I38" s="8">
        <v>10</v>
      </c>
      <c r="J38" s="8">
        <v>8</v>
      </c>
      <c r="K38" s="8">
        <v>13</v>
      </c>
      <c r="L38" s="8">
        <v>10</v>
      </c>
      <c r="M38" s="8">
        <v>9</v>
      </c>
      <c r="N38" s="8">
        <v>8</v>
      </c>
      <c r="O38" s="8" t="s">
        <v>35</v>
      </c>
      <c r="P38" s="8">
        <v>10</v>
      </c>
      <c r="Q38" s="8">
        <v>10</v>
      </c>
      <c r="R38" s="8">
        <v>10</v>
      </c>
      <c r="S38" s="8">
        <v>10</v>
      </c>
      <c r="T38" s="8">
        <v>10</v>
      </c>
      <c r="U38" s="5" t="s">
        <v>34</v>
      </c>
      <c r="V38" s="8" t="s">
        <v>33</v>
      </c>
      <c r="W38" s="8">
        <v>0</v>
      </c>
      <c r="X38" s="8" t="s">
        <v>53</v>
      </c>
      <c r="Y38" s="8" t="s">
        <v>100</v>
      </c>
      <c r="Z38" s="8" t="s">
        <v>161</v>
      </c>
      <c r="AA38" s="8" t="s">
        <v>111</v>
      </c>
      <c r="AB38" s="12">
        <v>9.58</v>
      </c>
      <c r="AC38" s="12">
        <v>8.1199999999999992</v>
      </c>
      <c r="AD38" s="12">
        <v>8.99</v>
      </c>
      <c r="AE38" s="15">
        <v>8.9</v>
      </c>
      <c r="AF38" s="1"/>
      <c r="AG38" s="14">
        <f>(+AB38+AC38+AD38)/3</f>
        <v>8.8966666666666665</v>
      </c>
      <c r="AH38" s="1"/>
      <c r="AI38" s="1">
        <f t="shared" si="0"/>
        <v>6.227666666666666</v>
      </c>
      <c r="AJ38" s="1">
        <f t="shared" si="1"/>
        <v>2.67</v>
      </c>
      <c r="AK38" s="1">
        <f t="shared" si="2"/>
        <v>8.8976666666666659</v>
      </c>
      <c r="AL38" s="1"/>
      <c r="AM38" s="1"/>
      <c r="AN38" s="1"/>
      <c r="AO38" s="8" t="s">
        <v>162</v>
      </c>
    </row>
    <row r="39" spans="1:41" ht="30" thickBot="1">
      <c r="A39" s="7" t="s">
        <v>237</v>
      </c>
      <c r="B39" s="1" t="s">
        <v>238</v>
      </c>
      <c r="C39" s="8">
        <v>10</v>
      </c>
      <c r="D39" s="8">
        <v>10</v>
      </c>
      <c r="E39" s="8">
        <v>10</v>
      </c>
      <c r="F39" s="8">
        <v>10</v>
      </c>
      <c r="G39" s="8">
        <v>10</v>
      </c>
      <c r="H39" s="8">
        <v>10</v>
      </c>
      <c r="I39" s="8" t="s">
        <v>35</v>
      </c>
      <c r="J39" s="8">
        <v>9</v>
      </c>
      <c r="K39" s="8">
        <v>13</v>
      </c>
      <c r="L39" s="8">
        <v>10</v>
      </c>
      <c r="M39" s="8">
        <v>9</v>
      </c>
      <c r="N39" s="8">
        <v>10</v>
      </c>
      <c r="O39" s="8" t="s">
        <v>35</v>
      </c>
      <c r="P39" s="8" t="s">
        <v>33</v>
      </c>
      <c r="Q39" s="8">
        <v>8</v>
      </c>
      <c r="R39" s="8">
        <v>10</v>
      </c>
      <c r="S39" s="8">
        <v>10</v>
      </c>
      <c r="T39" s="8">
        <v>10</v>
      </c>
      <c r="U39" s="5" t="s">
        <v>34</v>
      </c>
      <c r="V39" s="8" t="s">
        <v>33</v>
      </c>
      <c r="W39" s="8">
        <v>9</v>
      </c>
      <c r="X39" s="8" t="s">
        <v>45</v>
      </c>
      <c r="Y39" s="8" t="s">
        <v>239</v>
      </c>
      <c r="Z39" s="8" t="s">
        <v>240</v>
      </c>
      <c r="AA39" s="8" t="s">
        <v>39</v>
      </c>
      <c r="AB39" s="12">
        <v>9.18</v>
      </c>
      <c r="AC39" s="12">
        <v>8.6999999999999993</v>
      </c>
      <c r="AD39" s="12">
        <v>8.99</v>
      </c>
      <c r="AE39" s="15">
        <v>8.9600000000000009</v>
      </c>
      <c r="AF39" s="1"/>
      <c r="AG39" s="14">
        <f>(+AB39+AC39+AD39)/3</f>
        <v>8.9566666666666652</v>
      </c>
      <c r="AH39" s="1"/>
      <c r="AI39" s="1">
        <f t="shared" si="0"/>
        <v>6.2696666666666649</v>
      </c>
      <c r="AJ39" s="1">
        <f t="shared" si="1"/>
        <v>2.6880000000000002</v>
      </c>
      <c r="AK39" s="1">
        <f t="shared" si="2"/>
        <v>8.9576666666666647</v>
      </c>
      <c r="AL39" s="1"/>
      <c r="AM39" s="1"/>
      <c r="AN39" s="1"/>
      <c r="AO39" s="8" t="s">
        <v>241</v>
      </c>
    </row>
    <row r="40" spans="1:41" ht="30" thickBot="1">
      <c r="A40" s="7" t="s">
        <v>193</v>
      </c>
      <c r="B40" s="1" t="s">
        <v>194</v>
      </c>
      <c r="C40" s="8" t="s">
        <v>35</v>
      </c>
      <c r="D40" s="8">
        <v>10</v>
      </c>
      <c r="E40" s="8" t="s">
        <v>35</v>
      </c>
      <c r="F40" s="8">
        <v>10</v>
      </c>
      <c r="G40" s="8">
        <v>10</v>
      </c>
      <c r="H40" s="8">
        <v>10</v>
      </c>
      <c r="I40" s="8">
        <v>10</v>
      </c>
      <c r="J40" s="8">
        <v>9</v>
      </c>
      <c r="K40" s="8" t="s">
        <v>43</v>
      </c>
      <c r="L40" s="8">
        <v>10</v>
      </c>
      <c r="M40" s="8" t="s">
        <v>35</v>
      </c>
      <c r="N40" s="8">
        <v>10</v>
      </c>
      <c r="O40" s="8" t="s">
        <v>35</v>
      </c>
      <c r="P40" s="8" t="s">
        <v>33</v>
      </c>
      <c r="Q40" s="8" t="s">
        <v>44</v>
      </c>
      <c r="R40" s="8">
        <v>10</v>
      </c>
      <c r="S40" s="8">
        <v>10</v>
      </c>
      <c r="T40" s="8">
        <v>10</v>
      </c>
      <c r="U40" s="5" t="s">
        <v>34</v>
      </c>
      <c r="V40" s="8" t="s">
        <v>37</v>
      </c>
      <c r="W40" s="8">
        <v>8</v>
      </c>
      <c r="X40" s="8" t="s">
        <v>93</v>
      </c>
      <c r="Y40" s="8" t="s">
        <v>195</v>
      </c>
      <c r="Z40" s="8" t="s">
        <v>72</v>
      </c>
      <c r="AA40" s="8" t="s">
        <v>39</v>
      </c>
      <c r="AB40" s="12">
        <v>9.57</v>
      </c>
      <c r="AC40" s="12">
        <v>8.76</v>
      </c>
      <c r="AD40" s="12">
        <v>9.4600000000000009</v>
      </c>
      <c r="AE40" s="15">
        <v>9.26</v>
      </c>
      <c r="AF40" s="1"/>
      <c r="AG40" s="14">
        <f>(+AB40+AC40+AD40)/3</f>
        <v>9.2633333333333336</v>
      </c>
      <c r="AH40" s="1"/>
      <c r="AI40" s="1">
        <f t="shared" si="0"/>
        <v>6.4843333333333328</v>
      </c>
      <c r="AJ40" s="1">
        <f t="shared" si="1"/>
        <v>2.778</v>
      </c>
      <c r="AK40" s="1">
        <f t="shared" si="2"/>
        <v>9.2623333333333324</v>
      </c>
      <c r="AL40" s="1"/>
      <c r="AM40" s="1"/>
      <c r="AN40" s="1"/>
      <c r="AO40" s="8" t="s">
        <v>196</v>
      </c>
    </row>
    <row r="41" spans="1:41" ht="15.75" thickBot="1">
      <c r="AK41" s="1"/>
    </row>
    <row r="42" spans="1:41" ht="15.75" thickBot="1">
      <c r="AK42" s="1"/>
    </row>
  </sheetData>
  <autoFilter ref="A1:AO1" xr:uid="{2DC72CCE-E97E-4E3D-9A8A-77B61F3D3383}">
    <sortState xmlns:xlrd2="http://schemas.microsoft.com/office/spreadsheetml/2017/richdata2" ref="A2:AO40">
      <sortCondition ref="AG1"/>
    </sortState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622-11B9-46AF-9D11-2FB4F03475C3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2023-08-01T02:20:10Z</dcterms:created>
  <dcterms:modified xsi:type="dcterms:W3CDTF">2023-08-01T04:36:28Z</dcterms:modified>
</cp:coreProperties>
</file>